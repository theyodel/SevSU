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E:\Dev\SevSU\2_Course\3_Term\Math_Statistics\lab_03\"/>
    </mc:Choice>
  </mc:AlternateContent>
  <xr:revisionPtr revIDLastSave="0" documentId="13_ncr:1_{C7C7F776-997A-4A60-961E-44A04525A045}" xr6:coauthVersionLast="47" xr6:coauthVersionMax="47" xr10:uidLastSave="{00000000-0000-0000-0000-000000000000}"/>
  <bookViews>
    <workbookView xWindow="-105" yWindow="0" windowWidth="19410" windowHeight="20985" activeTab="2" xr2:uid="{00000000-000D-0000-FFFF-FFFF00000000}"/>
  </bookViews>
  <sheets>
    <sheet name="Выборка X1" sheetId="1" r:id="rId1"/>
    <sheet name="Выборка X2" sheetId="2" r:id="rId2"/>
    <sheet name="Расчёты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F3" i="5"/>
  <c r="F2" i="5"/>
  <c r="C3" i="5"/>
  <c r="D3" i="5" s="1"/>
  <c r="C2" i="5"/>
  <c r="E2" i="5" s="1"/>
  <c r="D2" i="5" l="1"/>
</calcChain>
</file>

<file path=xl/sharedStrings.xml><?xml version="1.0" encoding="utf-8"?>
<sst xmlns="http://schemas.openxmlformats.org/spreadsheetml/2006/main" count="21" uniqueCount="15">
  <si>
    <t>№</t>
  </si>
  <si>
    <t>X1 (n=30, σ²=25)</t>
  </si>
  <si>
    <t>X2 (n=35, σ²=10)</t>
  </si>
  <si>
    <t>X1</t>
  </si>
  <si>
    <t>X2</t>
  </si>
  <si>
    <t>Выборка</t>
  </si>
  <si>
    <t>Объём</t>
  </si>
  <si>
    <t>Дисперсия</t>
  </si>
  <si>
    <t>СКО</t>
  </si>
  <si>
    <t>F-Фишера</t>
  </si>
  <si>
    <t>Критич. Зн.</t>
  </si>
  <si>
    <t>Вывод</t>
  </si>
  <si>
    <t>ВАРИАЦИОННЫЙ РЯД</t>
  </si>
  <si>
    <t>Степени Свободы</t>
  </si>
  <si>
    <t>из таблицы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</si>
</sst>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vertical="center"/>
    </xf>
    <xf numFmtId="17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385762</xdr:colOff>
      <xdr:row>5</xdr:row>
      <xdr:rowOff>45720</xdr:rowOff>
    </xdr:from>
    <xdr:ext cx="1466042" cy="2912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9AB78CD-4F36-16EE-FFD3-57DA5B2CCA6E}"/>
                </a:ext>
              </a:extLst>
            </xdr:cNvPr>
            <xdr:cNvSpPr txBox="1"/>
          </xdr:nvSpPr>
          <xdr:spPr>
            <a:xfrm>
              <a:off x="1757362" y="1036320"/>
              <a:ext cx="1466042" cy="2912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</a:rPr>
                      <m:t>: </m:t>
                    </m:r>
                    <m:sSubSup>
                      <m:sSubSup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    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ru-RU" sz="18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9AB78CD-4F36-16EE-FFD3-57DA5B2CCA6E}"/>
                </a:ext>
              </a:extLst>
            </xdr:cNvPr>
            <xdr:cNvSpPr txBox="1"/>
          </xdr:nvSpPr>
          <xdr:spPr>
            <a:xfrm>
              <a:off x="1757362" y="1036320"/>
              <a:ext cx="1466042" cy="2912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b="0" i="0">
                  <a:latin typeface="Cambria Math" panose="02040503050406030204" pitchFamily="18" charset="0"/>
                </a:rPr>
                <a:t>𝐻_0: 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     𝜎〗_1^2=𝜎_2^2</a:t>
              </a:r>
              <a:endParaRPr lang="ru-RU" sz="1800"/>
            </a:p>
          </xdr:txBody>
        </xdr:sp>
      </mc:Fallback>
    </mc:AlternateContent>
    <xdr:clientData/>
  </xdr:oneCellAnchor>
  <xdr:oneCellAnchor>
    <xdr:from>
      <xdr:col>5</xdr:col>
      <xdr:colOff>581977</xdr:colOff>
      <xdr:row>5</xdr:row>
      <xdr:rowOff>38100</xdr:rowOff>
    </xdr:from>
    <xdr:ext cx="1460721" cy="2912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C48050A-58F9-4324-A878-BA195E36DC6D}"/>
                </a:ext>
              </a:extLst>
            </xdr:cNvPr>
            <xdr:cNvSpPr txBox="1"/>
          </xdr:nvSpPr>
          <xdr:spPr>
            <a:xfrm>
              <a:off x="4010977" y="1028700"/>
              <a:ext cx="1460721" cy="2912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</a:rPr>
                      <m:t>: </m:t>
                    </m:r>
                    <m:sSubSup>
                      <m:sSubSup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    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≠</m:t>
                    </m:r>
                    <m:sSubSup>
                      <m:sSubSup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ru-RU" sz="18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C48050A-58F9-4324-A878-BA195E36DC6D}"/>
                </a:ext>
              </a:extLst>
            </xdr:cNvPr>
            <xdr:cNvSpPr txBox="1"/>
          </xdr:nvSpPr>
          <xdr:spPr>
            <a:xfrm>
              <a:off x="4010977" y="1028700"/>
              <a:ext cx="1460721" cy="2912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b="0" i="0">
                  <a:latin typeface="Cambria Math" panose="02040503050406030204" pitchFamily="18" charset="0"/>
                </a:rPr>
                <a:t>𝐻_1: 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     𝜎〗_1^2≠𝜎_2^2</a:t>
              </a:r>
              <a:endParaRPr lang="ru-RU" sz="18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workbookViewId="0">
      <selection activeCell="D32" sqref="D32:E32"/>
    </sheetView>
  </sheetViews>
  <sheetFormatPr defaultRowHeight="15.75" x14ac:dyDescent="0.25"/>
  <cols>
    <col min="1" max="1" width="6.875" customWidth="1"/>
    <col min="2" max="2" width="20.875" customWidth="1"/>
    <col min="4" max="4" width="6.875" customWidth="1"/>
    <col min="5" max="5" width="20.875" customWidth="1"/>
  </cols>
  <sheetData>
    <row r="1" spans="1:5" x14ac:dyDescent="0.25">
      <c r="A1" t="s">
        <v>0</v>
      </c>
      <c r="B1" t="s">
        <v>1</v>
      </c>
      <c r="D1" t="s">
        <v>0</v>
      </c>
      <c r="E1" t="s">
        <v>1</v>
      </c>
    </row>
    <row r="2" spans="1:5" x14ac:dyDescent="0.25">
      <c r="A2">
        <v>1</v>
      </c>
      <c r="B2">
        <v>56.98</v>
      </c>
      <c r="D2">
        <v>8</v>
      </c>
      <c r="E2">
        <v>41.39</v>
      </c>
    </row>
    <row r="3" spans="1:5" x14ac:dyDescent="0.25">
      <c r="A3">
        <v>2</v>
      </c>
      <c r="B3">
        <v>51.37</v>
      </c>
      <c r="D3">
        <v>22</v>
      </c>
      <c r="E3">
        <v>42.53</v>
      </c>
    </row>
    <row r="4" spans="1:5" x14ac:dyDescent="0.25">
      <c r="A4">
        <v>3</v>
      </c>
      <c r="B4">
        <v>52.42</v>
      </c>
      <c r="D4">
        <v>9</v>
      </c>
      <c r="E4">
        <v>43</v>
      </c>
    </row>
    <row r="5" spans="1:5" x14ac:dyDescent="0.25">
      <c r="A5">
        <v>4</v>
      </c>
      <c r="B5">
        <v>54.24</v>
      </c>
      <c r="D5">
        <v>5</v>
      </c>
      <c r="E5">
        <v>43.19</v>
      </c>
    </row>
    <row r="6" spans="1:5" x14ac:dyDescent="0.25">
      <c r="A6">
        <v>5</v>
      </c>
      <c r="B6">
        <v>43.19</v>
      </c>
      <c r="D6">
        <v>19</v>
      </c>
      <c r="E6">
        <v>43.54</v>
      </c>
    </row>
    <row r="7" spans="1:5" x14ac:dyDescent="0.25">
      <c r="A7">
        <v>6</v>
      </c>
      <c r="B7">
        <v>50.4</v>
      </c>
      <c r="D7">
        <v>24</v>
      </c>
      <c r="E7">
        <v>45.19</v>
      </c>
    </row>
    <row r="8" spans="1:5" x14ac:dyDescent="0.25">
      <c r="A8">
        <v>7</v>
      </c>
      <c r="B8">
        <v>46.87</v>
      </c>
      <c r="D8">
        <v>14</v>
      </c>
      <c r="E8">
        <v>46.05</v>
      </c>
    </row>
    <row r="9" spans="1:5" x14ac:dyDescent="0.25">
      <c r="A9">
        <v>8</v>
      </c>
      <c r="B9">
        <v>41.39</v>
      </c>
      <c r="D9">
        <v>26</v>
      </c>
      <c r="E9">
        <v>46.52</v>
      </c>
    </row>
    <row r="10" spans="1:5" x14ac:dyDescent="0.25">
      <c r="A10">
        <v>9</v>
      </c>
      <c r="B10">
        <v>43</v>
      </c>
      <c r="D10">
        <v>7</v>
      </c>
      <c r="E10">
        <v>46.87</v>
      </c>
    </row>
    <row r="11" spans="1:5" x14ac:dyDescent="0.25">
      <c r="A11">
        <v>10</v>
      </c>
      <c r="B11">
        <v>49.46</v>
      </c>
      <c r="D11">
        <v>13</v>
      </c>
      <c r="E11">
        <v>48.54</v>
      </c>
    </row>
    <row r="12" spans="1:5" x14ac:dyDescent="0.25">
      <c r="A12">
        <v>11</v>
      </c>
      <c r="B12">
        <v>53.06</v>
      </c>
      <c r="D12">
        <v>28</v>
      </c>
      <c r="E12">
        <v>48.71</v>
      </c>
    </row>
    <row r="13" spans="1:5" x14ac:dyDescent="0.25">
      <c r="A13">
        <v>12</v>
      </c>
      <c r="B13">
        <v>49.55</v>
      </c>
      <c r="D13">
        <v>10</v>
      </c>
      <c r="E13">
        <v>49.46</v>
      </c>
    </row>
    <row r="14" spans="1:5" x14ac:dyDescent="0.25">
      <c r="A14">
        <v>13</v>
      </c>
      <c r="B14">
        <v>48.54</v>
      </c>
      <c r="D14">
        <v>12</v>
      </c>
      <c r="E14">
        <v>49.55</v>
      </c>
    </row>
    <row r="15" spans="1:5" x14ac:dyDescent="0.25">
      <c r="A15">
        <v>14</v>
      </c>
      <c r="B15">
        <v>46.05</v>
      </c>
      <c r="D15">
        <v>21</v>
      </c>
      <c r="E15">
        <v>49.88</v>
      </c>
    </row>
    <row r="16" spans="1:5" x14ac:dyDescent="0.25">
      <c r="A16">
        <v>15</v>
      </c>
      <c r="B16">
        <v>58.91</v>
      </c>
      <c r="D16">
        <v>6</v>
      </c>
      <c r="E16">
        <v>50.4</v>
      </c>
    </row>
    <row r="17" spans="1:5" x14ac:dyDescent="0.25">
      <c r="A17">
        <v>16</v>
      </c>
      <c r="B17">
        <v>54.43</v>
      </c>
      <c r="D17">
        <v>18</v>
      </c>
      <c r="E17">
        <v>51.04</v>
      </c>
    </row>
    <row r="18" spans="1:5" x14ac:dyDescent="0.25">
      <c r="A18">
        <v>17</v>
      </c>
      <c r="B18">
        <v>54.54</v>
      </c>
      <c r="D18">
        <v>2</v>
      </c>
      <c r="E18">
        <v>51.37</v>
      </c>
    </row>
    <row r="19" spans="1:5" x14ac:dyDescent="0.25">
      <c r="A19">
        <v>18</v>
      </c>
      <c r="B19">
        <v>51.04</v>
      </c>
      <c r="D19">
        <v>23</v>
      </c>
      <c r="E19">
        <v>51.93</v>
      </c>
    </row>
    <row r="20" spans="1:5" x14ac:dyDescent="0.25">
      <c r="A20">
        <v>19</v>
      </c>
      <c r="B20">
        <v>43.54</v>
      </c>
      <c r="D20">
        <v>3</v>
      </c>
      <c r="E20">
        <v>52.42</v>
      </c>
    </row>
    <row r="21" spans="1:5" x14ac:dyDescent="0.25">
      <c r="A21">
        <v>20</v>
      </c>
      <c r="B21">
        <v>57.95</v>
      </c>
      <c r="D21">
        <v>30</v>
      </c>
      <c r="E21">
        <v>52.89</v>
      </c>
    </row>
    <row r="22" spans="1:5" x14ac:dyDescent="0.25">
      <c r="A22">
        <v>21</v>
      </c>
      <c r="B22">
        <v>49.88</v>
      </c>
      <c r="D22">
        <v>11</v>
      </c>
      <c r="E22">
        <v>53.06</v>
      </c>
    </row>
    <row r="23" spans="1:5" x14ac:dyDescent="0.25">
      <c r="A23">
        <v>22</v>
      </c>
      <c r="B23">
        <v>42.53</v>
      </c>
      <c r="D23">
        <v>25</v>
      </c>
      <c r="E23">
        <v>53.58</v>
      </c>
    </row>
    <row r="24" spans="1:5" x14ac:dyDescent="0.25">
      <c r="A24">
        <v>23</v>
      </c>
      <c r="B24">
        <v>51.93</v>
      </c>
      <c r="D24">
        <v>4</v>
      </c>
      <c r="E24">
        <v>54.24</v>
      </c>
    </row>
    <row r="25" spans="1:5" x14ac:dyDescent="0.25">
      <c r="A25">
        <v>24</v>
      </c>
      <c r="B25">
        <v>45.19</v>
      </c>
      <c r="D25">
        <v>16</v>
      </c>
      <c r="E25">
        <v>54.43</v>
      </c>
    </row>
    <row r="26" spans="1:5" x14ac:dyDescent="0.25">
      <c r="A26">
        <v>25</v>
      </c>
      <c r="B26">
        <v>53.58</v>
      </c>
      <c r="D26">
        <v>17</v>
      </c>
      <c r="E26">
        <v>54.54</v>
      </c>
    </row>
    <row r="27" spans="1:5" x14ac:dyDescent="0.25">
      <c r="A27">
        <v>26</v>
      </c>
      <c r="B27">
        <v>46.52</v>
      </c>
      <c r="D27">
        <v>1</v>
      </c>
      <c r="E27">
        <v>56.98</v>
      </c>
    </row>
    <row r="28" spans="1:5" x14ac:dyDescent="0.25">
      <c r="A28">
        <v>27</v>
      </c>
      <c r="B28">
        <v>57.08</v>
      </c>
      <c r="D28">
        <v>27</v>
      </c>
      <c r="E28">
        <v>57.08</v>
      </c>
    </row>
    <row r="29" spans="1:5" x14ac:dyDescent="0.25">
      <c r="A29">
        <v>28</v>
      </c>
      <c r="B29">
        <v>48.71</v>
      </c>
      <c r="D29">
        <v>29</v>
      </c>
      <c r="E29">
        <v>57.45</v>
      </c>
    </row>
    <row r="30" spans="1:5" x14ac:dyDescent="0.25">
      <c r="A30">
        <v>29</v>
      </c>
      <c r="B30">
        <v>57.45</v>
      </c>
      <c r="D30">
        <v>20</v>
      </c>
      <c r="E30">
        <v>57.95</v>
      </c>
    </row>
    <row r="31" spans="1:5" x14ac:dyDescent="0.25">
      <c r="A31">
        <v>30</v>
      </c>
      <c r="B31">
        <v>52.89</v>
      </c>
      <c r="D31">
        <v>15</v>
      </c>
      <c r="E31">
        <v>58.91</v>
      </c>
    </row>
    <row r="32" spans="1:5" x14ac:dyDescent="0.25">
      <c r="D32" s="11" t="s">
        <v>12</v>
      </c>
      <c r="E32" s="11"/>
    </row>
  </sheetData>
  <sortState xmlns:xlrd2="http://schemas.microsoft.com/office/spreadsheetml/2017/richdata2" ref="D2:E37">
    <sortCondition ref="E1:E37"/>
  </sortState>
  <mergeCells count="1">
    <mergeCell ref="D32:E32"/>
  </mergeCells>
  <pageMargins left="0.7" right="0.7" top="0.75" bottom="0.75" header="0.3" footer="0.3"/>
  <ignoredErrors>
    <ignoredError sqref="A1:B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selection activeCell="E42" sqref="E42"/>
    </sheetView>
  </sheetViews>
  <sheetFormatPr defaultRowHeight="15.75" x14ac:dyDescent="0.25"/>
  <cols>
    <col min="1" max="1" width="6.875" customWidth="1"/>
    <col min="2" max="2" width="20.875" customWidth="1"/>
    <col min="4" max="4" width="6.875" customWidth="1"/>
    <col min="5" max="5" width="20.875" customWidth="1"/>
  </cols>
  <sheetData>
    <row r="1" spans="1:5" x14ac:dyDescent="0.25">
      <c r="A1" t="s">
        <v>0</v>
      </c>
      <c r="B1" t="s">
        <v>2</v>
      </c>
      <c r="D1" t="s">
        <v>0</v>
      </c>
      <c r="E1" t="s">
        <v>2</v>
      </c>
    </row>
    <row r="2" spans="1:5" x14ac:dyDescent="0.25">
      <c r="A2">
        <v>1</v>
      </c>
      <c r="B2">
        <v>51.36</v>
      </c>
      <c r="D2">
        <v>20</v>
      </c>
      <c r="E2">
        <v>42.28</v>
      </c>
    </row>
    <row r="3" spans="1:5" x14ac:dyDescent="0.25">
      <c r="A3">
        <v>2</v>
      </c>
      <c r="B3">
        <v>51.06</v>
      </c>
      <c r="D3">
        <v>5</v>
      </c>
      <c r="E3">
        <v>43.49</v>
      </c>
    </row>
    <row r="4" spans="1:5" x14ac:dyDescent="0.25">
      <c r="A4">
        <v>3</v>
      </c>
      <c r="B4">
        <v>50.99</v>
      </c>
      <c r="D4">
        <v>12</v>
      </c>
      <c r="E4">
        <v>44</v>
      </c>
    </row>
    <row r="5" spans="1:5" x14ac:dyDescent="0.25">
      <c r="A5">
        <v>4</v>
      </c>
      <c r="B5">
        <v>49.51</v>
      </c>
      <c r="D5">
        <v>13</v>
      </c>
      <c r="E5">
        <v>44.98</v>
      </c>
    </row>
    <row r="6" spans="1:5" x14ac:dyDescent="0.25">
      <c r="A6">
        <v>5</v>
      </c>
      <c r="B6">
        <v>43.49</v>
      </c>
      <c r="D6">
        <v>28</v>
      </c>
      <c r="E6">
        <v>45.3</v>
      </c>
    </row>
    <row r="7" spans="1:5" x14ac:dyDescent="0.25">
      <c r="A7">
        <v>6</v>
      </c>
      <c r="B7">
        <v>48.57</v>
      </c>
      <c r="D7">
        <v>26</v>
      </c>
      <c r="E7">
        <v>45.55</v>
      </c>
    </row>
    <row r="8" spans="1:5" x14ac:dyDescent="0.25">
      <c r="A8">
        <v>7</v>
      </c>
      <c r="B8">
        <v>50.24</v>
      </c>
      <c r="D8">
        <v>34</v>
      </c>
      <c r="E8">
        <v>46.62</v>
      </c>
    </row>
    <row r="9" spans="1:5" x14ac:dyDescent="0.25">
      <c r="A9">
        <v>8</v>
      </c>
      <c r="B9">
        <v>49.29</v>
      </c>
      <c r="D9">
        <v>24</v>
      </c>
      <c r="E9">
        <v>47.62</v>
      </c>
    </row>
    <row r="10" spans="1:5" x14ac:dyDescent="0.25">
      <c r="A10">
        <v>9</v>
      </c>
      <c r="B10">
        <v>49.2</v>
      </c>
      <c r="D10">
        <v>15</v>
      </c>
      <c r="E10">
        <v>47.91</v>
      </c>
    </row>
    <row r="11" spans="1:5" x14ac:dyDescent="0.25">
      <c r="A11">
        <v>10</v>
      </c>
      <c r="B11">
        <v>52.62</v>
      </c>
      <c r="D11">
        <v>6</v>
      </c>
      <c r="E11">
        <v>48.57</v>
      </c>
    </row>
    <row r="12" spans="1:5" x14ac:dyDescent="0.25">
      <c r="A12">
        <v>11</v>
      </c>
      <c r="B12">
        <v>49.24</v>
      </c>
      <c r="D12">
        <v>21</v>
      </c>
      <c r="E12">
        <v>48.91</v>
      </c>
    </row>
    <row r="13" spans="1:5" x14ac:dyDescent="0.25">
      <c r="A13">
        <v>12</v>
      </c>
      <c r="B13">
        <v>44</v>
      </c>
      <c r="D13">
        <v>9</v>
      </c>
      <c r="E13">
        <v>49.2</v>
      </c>
    </row>
    <row r="14" spans="1:5" x14ac:dyDescent="0.25">
      <c r="A14">
        <v>13</v>
      </c>
      <c r="B14">
        <v>44.98</v>
      </c>
      <c r="D14">
        <v>11</v>
      </c>
      <c r="E14">
        <v>49.24</v>
      </c>
    </row>
    <row r="15" spans="1:5" x14ac:dyDescent="0.25">
      <c r="A15">
        <v>14</v>
      </c>
      <c r="B15">
        <v>49.73</v>
      </c>
      <c r="D15">
        <v>8</v>
      </c>
      <c r="E15">
        <v>49.29</v>
      </c>
    </row>
    <row r="16" spans="1:5" x14ac:dyDescent="0.25">
      <c r="A16">
        <v>15</v>
      </c>
      <c r="B16">
        <v>47.91</v>
      </c>
      <c r="D16">
        <v>22</v>
      </c>
      <c r="E16">
        <v>49.4</v>
      </c>
    </row>
    <row r="17" spans="1:5" x14ac:dyDescent="0.25">
      <c r="A17">
        <v>16</v>
      </c>
      <c r="B17">
        <v>53.2</v>
      </c>
      <c r="D17">
        <v>4</v>
      </c>
      <c r="E17">
        <v>49.51</v>
      </c>
    </row>
    <row r="18" spans="1:5" x14ac:dyDescent="0.25">
      <c r="A18">
        <v>17</v>
      </c>
      <c r="B18">
        <v>50.6</v>
      </c>
      <c r="D18">
        <v>27</v>
      </c>
      <c r="E18">
        <v>49.57</v>
      </c>
    </row>
    <row r="19" spans="1:5" x14ac:dyDescent="0.25">
      <c r="A19">
        <v>18</v>
      </c>
      <c r="B19">
        <v>50.2</v>
      </c>
      <c r="D19">
        <v>14</v>
      </c>
      <c r="E19">
        <v>49.73</v>
      </c>
    </row>
    <row r="20" spans="1:5" x14ac:dyDescent="0.25">
      <c r="A20">
        <v>19</v>
      </c>
      <c r="B20">
        <v>55.84</v>
      </c>
      <c r="D20">
        <v>18</v>
      </c>
      <c r="E20">
        <v>50.2</v>
      </c>
    </row>
    <row r="21" spans="1:5" x14ac:dyDescent="0.25">
      <c r="A21">
        <v>20</v>
      </c>
      <c r="B21">
        <v>42.28</v>
      </c>
      <c r="D21">
        <v>7</v>
      </c>
      <c r="E21">
        <v>50.24</v>
      </c>
    </row>
    <row r="22" spans="1:5" x14ac:dyDescent="0.25">
      <c r="A22">
        <v>21</v>
      </c>
      <c r="B22">
        <v>48.91</v>
      </c>
      <c r="D22">
        <v>25</v>
      </c>
      <c r="E22">
        <v>50.39</v>
      </c>
    </row>
    <row r="23" spans="1:5" x14ac:dyDescent="0.25">
      <c r="A23">
        <v>22</v>
      </c>
      <c r="B23">
        <v>49.4</v>
      </c>
      <c r="D23">
        <v>23</v>
      </c>
      <c r="E23">
        <v>50.52</v>
      </c>
    </row>
    <row r="24" spans="1:5" x14ac:dyDescent="0.25">
      <c r="A24">
        <v>23</v>
      </c>
      <c r="B24">
        <v>50.52</v>
      </c>
      <c r="D24">
        <v>17</v>
      </c>
      <c r="E24">
        <v>50.6</v>
      </c>
    </row>
    <row r="25" spans="1:5" x14ac:dyDescent="0.25">
      <c r="A25">
        <v>24</v>
      </c>
      <c r="B25">
        <v>47.62</v>
      </c>
      <c r="D25">
        <v>32</v>
      </c>
      <c r="E25">
        <v>50.64</v>
      </c>
    </row>
    <row r="26" spans="1:5" x14ac:dyDescent="0.25">
      <c r="A26">
        <v>25</v>
      </c>
      <c r="B26">
        <v>50.39</v>
      </c>
      <c r="D26">
        <v>3</v>
      </c>
      <c r="E26">
        <v>50.99</v>
      </c>
    </row>
    <row r="27" spans="1:5" x14ac:dyDescent="0.25">
      <c r="A27">
        <v>26</v>
      </c>
      <c r="B27">
        <v>45.55</v>
      </c>
      <c r="D27">
        <v>33</v>
      </c>
      <c r="E27">
        <v>51</v>
      </c>
    </row>
    <row r="28" spans="1:5" x14ac:dyDescent="0.25">
      <c r="A28">
        <v>27</v>
      </c>
      <c r="B28">
        <v>49.57</v>
      </c>
      <c r="D28">
        <v>2</v>
      </c>
      <c r="E28">
        <v>51.06</v>
      </c>
    </row>
    <row r="29" spans="1:5" x14ac:dyDescent="0.25">
      <c r="A29">
        <v>28</v>
      </c>
      <c r="B29">
        <v>45.3</v>
      </c>
      <c r="D29">
        <v>1</v>
      </c>
      <c r="E29">
        <v>51.36</v>
      </c>
    </row>
    <row r="30" spans="1:5" x14ac:dyDescent="0.25">
      <c r="A30">
        <v>29</v>
      </c>
      <c r="B30">
        <v>55.11</v>
      </c>
      <c r="D30">
        <v>35</v>
      </c>
      <c r="E30">
        <v>51.99</v>
      </c>
    </row>
    <row r="31" spans="1:5" x14ac:dyDescent="0.25">
      <c r="A31">
        <v>30</v>
      </c>
      <c r="B31">
        <v>53.63</v>
      </c>
      <c r="D31">
        <v>10</v>
      </c>
      <c r="E31">
        <v>52.62</v>
      </c>
    </row>
    <row r="32" spans="1:5" x14ac:dyDescent="0.25">
      <c r="A32">
        <v>31</v>
      </c>
      <c r="B32">
        <v>53.75</v>
      </c>
      <c r="D32">
        <v>16</v>
      </c>
      <c r="E32">
        <v>53.2</v>
      </c>
    </row>
    <row r="33" spans="1:5" x14ac:dyDescent="0.25">
      <c r="A33">
        <v>32</v>
      </c>
      <c r="B33">
        <v>50.64</v>
      </c>
      <c r="D33">
        <v>30</v>
      </c>
      <c r="E33">
        <v>53.63</v>
      </c>
    </row>
    <row r="34" spans="1:5" x14ac:dyDescent="0.25">
      <c r="A34">
        <v>33</v>
      </c>
      <c r="B34">
        <v>51</v>
      </c>
      <c r="D34">
        <v>31</v>
      </c>
      <c r="E34">
        <v>53.75</v>
      </c>
    </row>
    <row r="35" spans="1:5" x14ac:dyDescent="0.25">
      <c r="A35">
        <v>34</v>
      </c>
      <c r="B35">
        <v>46.62</v>
      </c>
      <c r="D35">
        <v>29</v>
      </c>
      <c r="E35">
        <v>55.11</v>
      </c>
    </row>
    <row r="36" spans="1:5" x14ac:dyDescent="0.25">
      <c r="A36">
        <v>35</v>
      </c>
      <c r="B36">
        <v>51.99</v>
      </c>
      <c r="D36">
        <v>19</v>
      </c>
      <c r="E36">
        <v>55.84</v>
      </c>
    </row>
    <row r="37" spans="1:5" x14ac:dyDescent="0.25">
      <c r="D37" s="11" t="s">
        <v>12</v>
      </c>
      <c r="E37" s="11"/>
    </row>
  </sheetData>
  <sortState xmlns:xlrd2="http://schemas.microsoft.com/office/spreadsheetml/2017/richdata2" ref="D2:E41">
    <sortCondition ref="E1:E41"/>
  </sortState>
  <mergeCells count="1">
    <mergeCell ref="D37:E37"/>
  </mergeCells>
  <pageMargins left="0.7" right="0.7" top="0.75" bottom="0.75" header="0.3" footer="0.3"/>
  <ignoredErrors>
    <ignoredError sqref="A1:B3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755A-560C-4E51-A552-ED6EE0E529C6}">
  <dimension ref="A1:K7"/>
  <sheetViews>
    <sheetView tabSelected="1" zoomScale="130" zoomScaleNormal="130" workbookViewId="0">
      <selection activeCell="H11" sqref="H11"/>
    </sheetView>
  </sheetViews>
  <sheetFormatPr defaultRowHeight="15.75" x14ac:dyDescent="0.25"/>
  <cols>
    <col min="3" max="3" width="9.75" customWidth="1"/>
    <col min="5" max="5" width="9.375" customWidth="1"/>
    <col min="6" max="6" width="17.125" customWidth="1"/>
    <col min="7" max="7" width="10.875" bestFit="1" customWidth="1"/>
    <col min="8" max="8" width="32.375" customWidth="1"/>
    <col min="9" max="9" width="10.5" customWidth="1"/>
    <col min="10" max="10" width="10.625" customWidth="1"/>
    <col min="11" max="11" width="9.875" customWidth="1"/>
  </cols>
  <sheetData>
    <row r="1" spans="1:11" ht="31.5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13</v>
      </c>
      <c r="G1" s="2" t="s">
        <v>10</v>
      </c>
      <c r="H1" s="2" t="s">
        <v>11</v>
      </c>
    </row>
    <row r="2" spans="1:11" x14ac:dyDescent="0.25">
      <c r="A2" s="3" t="s">
        <v>3</v>
      </c>
      <c r="B2" s="3">
        <v>30</v>
      </c>
      <c r="C2" s="3">
        <f>_xlfn.VAR.S('Выборка X1'!B:B)</f>
        <v>25.000304482758626</v>
      </c>
      <c r="D2" s="3">
        <f>SQRT(C2)</f>
        <v>5.0000304481831535</v>
      </c>
      <c r="E2" s="4">
        <f>C2/C3</f>
        <v>2.4995018981433832</v>
      </c>
      <c r="F2" s="3">
        <f>B2-1</f>
        <v>29</v>
      </c>
      <c r="G2" s="4">
        <v>1.82</v>
      </c>
      <c r="H2" s="4" t="str">
        <f>IF(E2&gt;G2,"Отвергаем H0","Нет оснований отвергать H0")</f>
        <v>Отвергаем H0</v>
      </c>
    </row>
    <row r="3" spans="1:11" x14ac:dyDescent="0.25">
      <c r="A3" s="3" t="s">
        <v>4</v>
      </c>
      <c r="B3" s="3">
        <v>35</v>
      </c>
      <c r="C3" s="3">
        <f>_xlfn.VAR.S('Выборка X2'!B:B)</f>
        <v>10.002114621848746</v>
      </c>
      <c r="D3" s="3">
        <f>SQRT(C3)</f>
        <v>3.1626119935661956</v>
      </c>
      <c r="E3" s="4"/>
      <c r="F3" s="3">
        <f>B3-1</f>
        <v>34</v>
      </c>
      <c r="G3" s="4"/>
      <c r="H3" s="4"/>
    </row>
    <row r="4" spans="1:11" x14ac:dyDescent="0.25">
      <c r="G4" s="13" t="s">
        <v>14</v>
      </c>
    </row>
    <row r="5" spans="1:11" ht="16.5" thickBot="1" x14ac:dyDescent="0.3"/>
    <row r="6" spans="1:11" x14ac:dyDescent="0.25">
      <c r="A6" s="5"/>
      <c r="B6" s="6"/>
      <c r="C6" s="6"/>
      <c r="D6" s="6"/>
      <c r="E6" s="6"/>
      <c r="F6" s="6"/>
      <c r="G6" s="6"/>
      <c r="H6" s="7"/>
      <c r="I6" s="12"/>
      <c r="J6" s="1"/>
      <c r="K6" s="1"/>
    </row>
    <row r="7" spans="1:11" ht="16.5" thickBot="1" x14ac:dyDescent="0.3">
      <c r="A7" s="8"/>
      <c r="B7" s="9"/>
      <c r="C7" s="9"/>
      <c r="D7" s="9"/>
      <c r="E7" s="9"/>
      <c r="F7" s="9"/>
      <c r="G7" s="9"/>
      <c r="H7" s="10"/>
      <c r="I7" s="12"/>
      <c r="J7" s="1"/>
      <c r="K7" s="1"/>
    </row>
  </sheetData>
  <mergeCells count="4">
    <mergeCell ref="G2:G3"/>
    <mergeCell ref="H2:H3"/>
    <mergeCell ref="E2:E3"/>
    <mergeCell ref="A6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Выборка X1</vt:lpstr>
      <vt:lpstr>Выборка X2</vt:lpstr>
      <vt:lpstr>Расчёты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 Заварзина</dc:creator>
  <cp:lastModifiedBy>Арсений Заварзин</cp:lastModifiedBy>
  <dcterms:created xsi:type="dcterms:W3CDTF">2026-10-06T09:12:47Z</dcterms:created>
  <dcterms:modified xsi:type="dcterms:W3CDTF">2026-10-07T10:52:23Z</dcterms:modified>
</cp:coreProperties>
</file>