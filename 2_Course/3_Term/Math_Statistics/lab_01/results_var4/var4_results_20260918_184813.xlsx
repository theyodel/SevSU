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v\SevSU\2_Course\3_Term\Math_Statistics\lab_01\results_var4\"/>
    </mc:Choice>
  </mc:AlternateContent>
  <bookViews>
    <workbookView xWindow="0" yWindow="0" windowWidth="38400" windowHeight="17610"/>
  </bookViews>
  <sheets>
    <sheet name="Статистики" sheetId="1" r:id="rId1"/>
    <sheet name="Генеральная_совокупность" sheetId="2" r:id="rId2"/>
    <sheet name="Выборки" sheetId="3" r:id="rId3"/>
  </sheets>
  <calcPr calcId="162913"/>
</workbook>
</file>

<file path=xl/calcChain.xml><?xml version="1.0" encoding="utf-8"?>
<calcChain xmlns="http://schemas.openxmlformats.org/spreadsheetml/2006/main">
  <c r="L5" i="1" l="1"/>
  <c r="L4" i="1"/>
  <c r="L3" i="1"/>
  <c r="L2" i="1"/>
  <c r="K2" i="1"/>
  <c r="K5" i="1"/>
  <c r="K4" i="1"/>
  <c r="K3" i="1"/>
  <c r="J3" i="1" l="1"/>
  <c r="J4" i="1"/>
  <c r="J5" i="1"/>
  <c r="I3" i="1"/>
  <c r="I4" i="1"/>
  <c r="I5" i="1"/>
  <c r="H5" i="1"/>
  <c r="H4" i="1"/>
  <c r="H3" i="1"/>
  <c r="H2" i="1"/>
  <c r="G5" i="1"/>
  <c r="G4" i="1"/>
  <c r="G3" i="1"/>
  <c r="G2" i="1"/>
  <c r="I2" i="1" s="1"/>
  <c r="F5" i="1"/>
  <c r="F4" i="1"/>
  <c r="F3" i="1"/>
  <c r="F2" i="1"/>
  <c r="E5" i="1"/>
  <c r="E4" i="1"/>
  <c r="E3" i="1"/>
  <c r="E2" i="1"/>
  <c r="D5" i="1"/>
  <c r="D4" i="1"/>
  <c r="D3" i="1"/>
  <c r="D2" i="1"/>
  <c r="C5" i="1"/>
  <c r="C4" i="1"/>
  <c r="C3" i="1"/>
  <c r="C2" i="1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2" i="3"/>
  <c r="J2" i="1" l="1"/>
</calcChain>
</file>

<file path=xl/sharedStrings.xml><?xml version="1.0" encoding="utf-8"?>
<sst xmlns="http://schemas.openxmlformats.org/spreadsheetml/2006/main" count="34" uniqueCount="32">
  <si>
    <t>Выборка</t>
  </si>
  <si>
    <t>Объём (n)</t>
  </si>
  <si>
    <t>Среднее</t>
  </si>
  <si>
    <t>Медиана</t>
  </si>
  <si>
    <t>Мода</t>
  </si>
  <si>
    <t>Дисперсия</t>
  </si>
  <si>
    <t>Размах</t>
  </si>
  <si>
    <t>Генеральная совокупность</t>
  </si>
  <si>
    <t>Простая случайная выборка</t>
  </si>
  <si>
    <t>Механическая выборка</t>
  </si>
  <si>
    <t>Послойная выборка</t>
  </si>
  <si>
    <t>Индекс</t>
  </si>
  <si>
    <t>Значение</t>
  </si>
  <si>
    <t>Индекс_Случайная</t>
  </si>
  <si>
    <t>Значение_Случайная</t>
  </si>
  <si>
    <t>Индекс_Механическая</t>
  </si>
  <si>
    <t>Значение_Механическая</t>
  </si>
  <si>
    <t>Индекс_Послойная</t>
  </si>
  <si>
    <t>Значение_Послойная</t>
  </si>
  <si>
    <t>Ср. значение</t>
  </si>
  <si>
    <t>Индекс_Случайная (вар.ряд)</t>
  </si>
  <si>
    <t>Значение_Случайная (вар.ряд)</t>
  </si>
  <si>
    <t>Индекс_Механическая (вар.ряд)</t>
  </si>
  <si>
    <t>Значение_Механическая (вар.ряд)</t>
  </si>
  <si>
    <t>Индекс_Послойная (вар.ряд)</t>
  </si>
  <si>
    <t>Значение_Послойная (вар.ряд)</t>
  </si>
  <si>
    <t>Коэф. Вариации</t>
  </si>
  <si>
    <t>Ст. ошибка ср.</t>
  </si>
  <si>
    <t xml:space="preserve"> </t>
  </si>
  <si>
    <t>СКО</t>
  </si>
  <si>
    <t>Максимум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</si>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</sst>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0" xfId="0" applyFont="1"/>
    <xf numFmtId="0" fontId="1" fillId="2" borderId="1" xfId="0" applyFont="1" applyFill="1" applyBorder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Простая</a:t>
            </a:r>
            <a:r>
              <a:rPr lang="ru-RU" baseline="0"/>
              <a:t> случайная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610257981939166E-2"/>
          <c:y val="0.11891767028478309"/>
          <c:w val="0.90326372777200048"/>
          <c:h val="0.73871679098024912"/>
        </c:manualLayout>
      </c:layout>
      <c:scatterChart>
        <c:scatterStyle val="lineMarker"/>
        <c:varyColors val="0"/>
        <c:ser>
          <c:idx val="0"/>
          <c:order val="0"/>
          <c:tx>
            <c:strRef>
              <c:f>Выборки!$B$1</c:f>
              <c:strCache>
                <c:ptCount val="1"/>
                <c:pt idx="0">
                  <c:v>Значение_Случайная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Выборки!$B$2:$B$81</c:f>
              <c:numCache>
                <c:formatCode>General</c:formatCode>
                <c:ptCount val="80"/>
                <c:pt idx="0">
                  <c:v>4.5304009772044518</c:v>
                </c:pt>
                <c:pt idx="1">
                  <c:v>77.224476929665741</c:v>
                </c:pt>
                <c:pt idx="2">
                  <c:v>92.831856258772532</c:v>
                </c:pt>
                <c:pt idx="3">
                  <c:v>85.300945546736003</c:v>
                </c:pt>
                <c:pt idx="4">
                  <c:v>28.65412521282844</c:v>
                </c:pt>
                <c:pt idx="5">
                  <c:v>61.585009805221652</c:v>
                </c:pt>
                <c:pt idx="6">
                  <c:v>64.996393077776517</c:v>
                </c:pt>
                <c:pt idx="7">
                  <c:v>89.000534181756635</c:v>
                </c:pt>
                <c:pt idx="8">
                  <c:v>41.038292303562983</c:v>
                </c:pt>
                <c:pt idx="9">
                  <c:v>17.74395437797228</c:v>
                </c:pt>
                <c:pt idx="10">
                  <c:v>22.79351625419417</c:v>
                </c:pt>
                <c:pt idx="11">
                  <c:v>89.711025995257714</c:v>
                </c:pt>
                <c:pt idx="12">
                  <c:v>3.1429185686734251</c:v>
                </c:pt>
                <c:pt idx="13">
                  <c:v>18.340450985343381</c:v>
                </c:pt>
                <c:pt idx="14">
                  <c:v>72.609133372266157</c:v>
                </c:pt>
                <c:pt idx="15">
                  <c:v>23.956189066697242</c:v>
                </c:pt>
                <c:pt idx="16">
                  <c:v>26.520236768172541</c:v>
                </c:pt>
                <c:pt idx="17">
                  <c:v>60.754485190143839</c:v>
                </c:pt>
                <c:pt idx="18">
                  <c:v>27.864646423661139</c:v>
                </c:pt>
                <c:pt idx="19">
                  <c:v>32.295647294124599</c:v>
                </c:pt>
                <c:pt idx="20">
                  <c:v>54.873378936658611</c:v>
                </c:pt>
                <c:pt idx="21">
                  <c:v>27.08322512620742</c:v>
                </c:pt>
                <c:pt idx="22">
                  <c:v>4.0775141554763916</c:v>
                </c:pt>
                <c:pt idx="23">
                  <c:v>12.70605126518848</c:v>
                </c:pt>
                <c:pt idx="24">
                  <c:v>32.533033076326433</c:v>
                </c:pt>
                <c:pt idx="25">
                  <c:v>88.70864242651173</c:v>
                </c:pt>
                <c:pt idx="26">
                  <c:v>65.869363161894498</c:v>
                </c:pt>
                <c:pt idx="27">
                  <c:v>77.127034668594575</c:v>
                </c:pt>
                <c:pt idx="28">
                  <c:v>36.636184329369172</c:v>
                </c:pt>
                <c:pt idx="29">
                  <c:v>94.023024142495757</c:v>
                </c:pt>
                <c:pt idx="30">
                  <c:v>94.045858435291436</c:v>
                </c:pt>
                <c:pt idx="31">
                  <c:v>79.481130354164847</c:v>
                </c:pt>
                <c:pt idx="32">
                  <c:v>93.075732560356471</c:v>
                </c:pt>
                <c:pt idx="33">
                  <c:v>99.005385010426323</c:v>
                </c:pt>
                <c:pt idx="34">
                  <c:v>64.517279040944985</c:v>
                </c:pt>
                <c:pt idx="35">
                  <c:v>53.934224191565072</c:v>
                </c:pt>
                <c:pt idx="36">
                  <c:v>1.5456616528867431</c:v>
                </c:pt>
                <c:pt idx="37">
                  <c:v>96.361997708925287</c:v>
                </c:pt>
                <c:pt idx="38">
                  <c:v>29.359184426449339</c:v>
                </c:pt>
                <c:pt idx="39">
                  <c:v>57.828014099617398</c:v>
                </c:pt>
                <c:pt idx="40">
                  <c:v>11.00519245276768</c:v>
                </c:pt>
                <c:pt idx="41">
                  <c:v>16.08080514174987</c:v>
                </c:pt>
                <c:pt idx="42">
                  <c:v>36.019064141126293</c:v>
                </c:pt>
                <c:pt idx="43">
                  <c:v>30.46137691733707</c:v>
                </c:pt>
                <c:pt idx="44">
                  <c:v>52.273282938199408</c:v>
                </c:pt>
                <c:pt idx="45">
                  <c:v>61.172074623435222</c:v>
                </c:pt>
                <c:pt idx="46">
                  <c:v>86.073058325634349</c:v>
                </c:pt>
                <c:pt idx="47">
                  <c:v>80.219698075403969</c:v>
                </c:pt>
                <c:pt idx="48">
                  <c:v>44.015249373960131</c:v>
                </c:pt>
                <c:pt idx="49">
                  <c:v>94.290970391251918</c:v>
                </c:pt>
                <c:pt idx="50">
                  <c:v>92.469361827856275</c:v>
                </c:pt>
                <c:pt idx="51">
                  <c:v>93.67299887367345</c:v>
                </c:pt>
                <c:pt idx="52">
                  <c:v>80.74401551640625</c:v>
                </c:pt>
                <c:pt idx="53">
                  <c:v>15.64370426710861</c:v>
                </c:pt>
                <c:pt idx="54">
                  <c:v>97.178208272096072</c:v>
                </c:pt>
                <c:pt idx="55">
                  <c:v>21.582102749684321</c:v>
                </c:pt>
                <c:pt idx="56">
                  <c:v>16.293442708142969</c:v>
                </c:pt>
                <c:pt idx="57">
                  <c:v>75.555113854304864</c:v>
                </c:pt>
                <c:pt idx="58">
                  <c:v>80.936115547851358</c:v>
                </c:pt>
                <c:pt idx="59">
                  <c:v>17.436642900499141</c:v>
                </c:pt>
                <c:pt idx="60">
                  <c:v>93.615477416078093</c:v>
                </c:pt>
                <c:pt idx="61">
                  <c:v>62.894284677988402</c:v>
                </c:pt>
                <c:pt idx="62">
                  <c:v>14.09242249747626</c:v>
                </c:pt>
                <c:pt idx="63">
                  <c:v>82.260056065965827</c:v>
                </c:pt>
                <c:pt idx="64">
                  <c:v>83.244264080042171</c:v>
                </c:pt>
                <c:pt idx="65">
                  <c:v>24.39896433790836</c:v>
                </c:pt>
                <c:pt idx="66">
                  <c:v>79.51861947687037</c:v>
                </c:pt>
                <c:pt idx="67">
                  <c:v>51.630034830119527</c:v>
                </c:pt>
                <c:pt idx="68">
                  <c:v>3.0500249939049429</c:v>
                </c:pt>
                <c:pt idx="69">
                  <c:v>23.724908749680012</c:v>
                </c:pt>
                <c:pt idx="70">
                  <c:v>35.949115121975517</c:v>
                </c:pt>
                <c:pt idx="71">
                  <c:v>63.755747135521311</c:v>
                </c:pt>
                <c:pt idx="72">
                  <c:v>35.67533266935893</c:v>
                </c:pt>
                <c:pt idx="73">
                  <c:v>18.182496720710059</c:v>
                </c:pt>
                <c:pt idx="74">
                  <c:v>39.850473439737343</c:v>
                </c:pt>
                <c:pt idx="75">
                  <c:v>52.475643163223793</c:v>
                </c:pt>
                <c:pt idx="76">
                  <c:v>57.547417787587896</c:v>
                </c:pt>
                <c:pt idx="77">
                  <c:v>99.050514200067326</c:v>
                </c:pt>
                <c:pt idx="78">
                  <c:v>37.461261462647123</c:v>
                </c:pt>
                <c:pt idx="79">
                  <c:v>88.721274257632658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B8-4AFD-B220-C2B98989501D}"/>
            </c:ext>
          </c:extLst>
        </c:ser>
        <c:ser>
          <c:idx val="1"/>
          <c:order val="1"/>
          <c:tx>
            <c:strRef>
              <c:f>Выборки!$E$1</c:f>
              <c:strCache>
                <c:ptCount val="1"/>
                <c:pt idx="0">
                  <c:v>Ср. значение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Выборки!$E$2:$E$81</c:f>
              <c:numCache>
                <c:formatCode>General</c:formatCode>
                <c:ptCount val="80"/>
                <c:pt idx="0">
                  <c:v>53.17383711677958</c:v>
                </c:pt>
                <c:pt idx="1">
                  <c:v>53.17383711677958</c:v>
                </c:pt>
                <c:pt idx="2">
                  <c:v>53.17383711677958</c:v>
                </c:pt>
                <c:pt idx="3">
                  <c:v>53.17383711677958</c:v>
                </c:pt>
                <c:pt idx="4">
                  <c:v>53.17383711677958</c:v>
                </c:pt>
                <c:pt idx="5">
                  <c:v>53.17383711677958</c:v>
                </c:pt>
                <c:pt idx="6">
                  <c:v>53.17383711677958</c:v>
                </c:pt>
                <c:pt idx="7">
                  <c:v>53.17383711677958</c:v>
                </c:pt>
                <c:pt idx="8">
                  <c:v>53.17383711677958</c:v>
                </c:pt>
                <c:pt idx="9">
                  <c:v>53.17383711677958</c:v>
                </c:pt>
                <c:pt idx="10">
                  <c:v>53.17383711677958</c:v>
                </c:pt>
                <c:pt idx="11">
                  <c:v>53.17383711677958</c:v>
                </c:pt>
                <c:pt idx="12">
                  <c:v>53.17383711677958</c:v>
                </c:pt>
                <c:pt idx="13">
                  <c:v>53.17383711677958</c:v>
                </c:pt>
                <c:pt idx="14">
                  <c:v>53.17383711677958</c:v>
                </c:pt>
                <c:pt idx="15">
                  <c:v>53.17383711677958</c:v>
                </c:pt>
                <c:pt idx="16">
                  <c:v>53.17383711677958</c:v>
                </c:pt>
                <c:pt idx="17">
                  <c:v>53.17383711677958</c:v>
                </c:pt>
                <c:pt idx="18">
                  <c:v>53.17383711677958</c:v>
                </c:pt>
                <c:pt idx="19">
                  <c:v>53.17383711677958</c:v>
                </c:pt>
                <c:pt idx="20">
                  <c:v>53.17383711677958</c:v>
                </c:pt>
                <c:pt idx="21">
                  <c:v>53.17383711677958</c:v>
                </c:pt>
                <c:pt idx="22">
                  <c:v>53.17383711677958</c:v>
                </c:pt>
                <c:pt idx="23">
                  <c:v>53.17383711677958</c:v>
                </c:pt>
                <c:pt idx="24">
                  <c:v>53.17383711677958</c:v>
                </c:pt>
                <c:pt idx="25">
                  <c:v>53.17383711677958</c:v>
                </c:pt>
                <c:pt idx="26">
                  <c:v>53.17383711677958</c:v>
                </c:pt>
                <c:pt idx="27">
                  <c:v>53.17383711677958</c:v>
                </c:pt>
                <c:pt idx="28">
                  <c:v>53.17383711677958</c:v>
                </c:pt>
                <c:pt idx="29">
                  <c:v>53.17383711677958</c:v>
                </c:pt>
                <c:pt idx="30">
                  <c:v>53.17383711677958</c:v>
                </c:pt>
                <c:pt idx="31">
                  <c:v>53.17383711677958</c:v>
                </c:pt>
                <c:pt idx="32">
                  <c:v>53.17383711677958</c:v>
                </c:pt>
                <c:pt idx="33">
                  <c:v>53.17383711677958</c:v>
                </c:pt>
                <c:pt idx="34">
                  <c:v>53.17383711677958</c:v>
                </c:pt>
                <c:pt idx="35">
                  <c:v>53.17383711677958</c:v>
                </c:pt>
                <c:pt idx="36">
                  <c:v>53.17383711677958</c:v>
                </c:pt>
                <c:pt idx="37">
                  <c:v>53.17383711677958</c:v>
                </c:pt>
                <c:pt idx="38">
                  <c:v>53.17383711677958</c:v>
                </c:pt>
                <c:pt idx="39">
                  <c:v>53.17383711677958</c:v>
                </c:pt>
                <c:pt idx="40">
                  <c:v>53.17383711677958</c:v>
                </c:pt>
                <c:pt idx="41">
                  <c:v>53.17383711677958</c:v>
                </c:pt>
                <c:pt idx="42">
                  <c:v>53.17383711677958</c:v>
                </c:pt>
                <c:pt idx="43">
                  <c:v>53.17383711677958</c:v>
                </c:pt>
                <c:pt idx="44">
                  <c:v>53.17383711677958</c:v>
                </c:pt>
                <c:pt idx="45">
                  <c:v>53.17383711677958</c:v>
                </c:pt>
                <c:pt idx="46">
                  <c:v>53.17383711677958</c:v>
                </c:pt>
                <c:pt idx="47">
                  <c:v>53.17383711677958</c:v>
                </c:pt>
                <c:pt idx="48">
                  <c:v>53.17383711677958</c:v>
                </c:pt>
                <c:pt idx="49">
                  <c:v>53.17383711677958</c:v>
                </c:pt>
                <c:pt idx="50">
                  <c:v>53.17383711677958</c:v>
                </c:pt>
                <c:pt idx="51">
                  <c:v>53.17383711677958</c:v>
                </c:pt>
                <c:pt idx="52">
                  <c:v>53.17383711677958</c:v>
                </c:pt>
                <c:pt idx="53">
                  <c:v>53.17383711677958</c:v>
                </c:pt>
                <c:pt idx="54">
                  <c:v>53.17383711677958</c:v>
                </c:pt>
                <c:pt idx="55">
                  <c:v>53.17383711677958</c:v>
                </c:pt>
                <c:pt idx="56">
                  <c:v>53.17383711677958</c:v>
                </c:pt>
                <c:pt idx="57">
                  <c:v>53.17383711677958</c:v>
                </c:pt>
                <c:pt idx="58">
                  <c:v>53.17383711677958</c:v>
                </c:pt>
                <c:pt idx="59">
                  <c:v>53.17383711677958</c:v>
                </c:pt>
                <c:pt idx="60">
                  <c:v>53.17383711677958</c:v>
                </c:pt>
                <c:pt idx="61">
                  <c:v>53.17383711677958</c:v>
                </c:pt>
                <c:pt idx="62">
                  <c:v>53.17383711677958</c:v>
                </c:pt>
                <c:pt idx="63">
                  <c:v>53.17383711677958</c:v>
                </c:pt>
                <c:pt idx="64">
                  <c:v>53.17383711677958</c:v>
                </c:pt>
                <c:pt idx="65">
                  <c:v>53.17383711677958</c:v>
                </c:pt>
                <c:pt idx="66">
                  <c:v>53.17383711677958</c:v>
                </c:pt>
                <c:pt idx="67">
                  <c:v>53.17383711677958</c:v>
                </c:pt>
                <c:pt idx="68">
                  <c:v>53.17383711677958</c:v>
                </c:pt>
                <c:pt idx="69">
                  <c:v>53.17383711677958</c:v>
                </c:pt>
                <c:pt idx="70">
                  <c:v>53.17383711677958</c:v>
                </c:pt>
                <c:pt idx="71">
                  <c:v>53.17383711677958</c:v>
                </c:pt>
                <c:pt idx="72">
                  <c:v>53.17383711677958</c:v>
                </c:pt>
                <c:pt idx="73">
                  <c:v>53.17383711677958</c:v>
                </c:pt>
                <c:pt idx="74">
                  <c:v>53.17383711677958</c:v>
                </c:pt>
                <c:pt idx="75">
                  <c:v>53.17383711677958</c:v>
                </c:pt>
                <c:pt idx="76">
                  <c:v>53.17383711677958</c:v>
                </c:pt>
                <c:pt idx="77">
                  <c:v>53.17383711677958</c:v>
                </c:pt>
                <c:pt idx="78">
                  <c:v>53.17383711677958</c:v>
                </c:pt>
                <c:pt idx="79">
                  <c:v>53.17383711677958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B8-4AFD-B220-C2B989895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96240"/>
        <c:axId val="617798536"/>
      </c:scatterChart>
      <c:valAx>
        <c:axId val="617796240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Индекс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798536"/>
        <c:crosses val="autoZero"/>
        <c:crossBetween val="midCat"/>
      </c:valAx>
      <c:valAx>
        <c:axId val="6177985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79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2971915980386381E-2"/>
          <c:y val="0.1232445166911869"/>
          <c:w val="0.19776103327858122"/>
          <c:h val="9.7720186062035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Механическая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2253761412844687E-2"/>
          <c:y val="9.5641308665835506E-2"/>
          <c:w val="0.90763585227053245"/>
          <c:h val="0.73871679098024912"/>
        </c:manualLayout>
      </c:layout>
      <c:scatterChart>
        <c:scatterStyle val="lineMarker"/>
        <c:varyColors val="0"/>
        <c:ser>
          <c:idx val="0"/>
          <c:order val="0"/>
          <c:tx>
            <c:strRef>
              <c:f>Выборки!$H$1</c:f>
              <c:strCache>
                <c:ptCount val="1"/>
                <c:pt idx="0">
                  <c:v>Значение_Механическая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Выборки!$H$2:$H$81</c:f>
              <c:numCache>
                <c:formatCode>General</c:formatCode>
                <c:ptCount val="80"/>
                <c:pt idx="0">
                  <c:v>15.60186404424365</c:v>
                </c:pt>
                <c:pt idx="1">
                  <c:v>70.807257779604555</c:v>
                </c:pt>
                <c:pt idx="2">
                  <c:v>18.182496720710059</c:v>
                </c:pt>
                <c:pt idx="3">
                  <c:v>29.122914019804188</c:v>
                </c:pt>
                <c:pt idx="4">
                  <c:v>45.606998421703587</c:v>
                </c:pt>
                <c:pt idx="5">
                  <c:v>4.6450412719997729</c:v>
                </c:pt>
                <c:pt idx="6">
                  <c:v>96.563203307455936</c:v>
                </c:pt>
                <c:pt idx="7">
                  <c:v>44.015249373960131</c:v>
                </c:pt>
                <c:pt idx="8">
                  <c:v>25.877998160001692</c:v>
                </c:pt>
                <c:pt idx="9">
                  <c:v>18.485445552552701</c:v>
                </c:pt>
                <c:pt idx="10">
                  <c:v>59.789997881108512</c:v>
                </c:pt>
                <c:pt idx="11">
                  <c:v>32.533033076326433</c:v>
                </c:pt>
                <c:pt idx="12">
                  <c:v>28.093450968738079</c:v>
                </c:pt>
                <c:pt idx="13">
                  <c:v>98.688693660051726</c:v>
                </c:pt>
                <c:pt idx="14">
                  <c:v>70.685734384761716</c:v>
                </c:pt>
                <c:pt idx="15">
                  <c:v>11.58690595251297</c:v>
                </c:pt>
                <c:pt idx="16">
                  <c:v>31.09823217156622</c:v>
                </c:pt>
                <c:pt idx="17">
                  <c:v>47.221492516194928</c:v>
                </c:pt>
                <c:pt idx="18">
                  <c:v>77.096717995456103</c:v>
                </c:pt>
                <c:pt idx="19">
                  <c:v>10.789142699330441</c:v>
                </c:pt>
                <c:pt idx="20">
                  <c:v>90.756647392609295</c:v>
                </c:pt>
                <c:pt idx="21">
                  <c:v>7.6979909828792987</c:v>
                </c:pt>
                <c:pt idx="22">
                  <c:v>63.340375651042343</c:v>
                </c:pt>
                <c:pt idx="23">
                  <c:v>53.934224191565072</c:v>
                </c:pt>
                <c:pt idx="24">
                  <c:v>22.79351625419417</c:v>
                </c:pt>
                <c:pt idx="25">
                  <c:v>51.07473025775657</c:v>
                </c:pt>
                <c:pt idx="26">
                  <c:v>94.290970391251918</c:v>
                </c:pt>
                <c:pt idx="27">
                  <c:v>97.178208272096072</c:v>
                </c:pt>
                <c:pt idx="28">
                  <c:v>28.484049437746759</c:v>
                </c:pt>
                <c:pt idx="29">
                  <c:v>27.864646423661139</c:v>
                </c:pt>
                <c:pt idx="30">
                  <c:v>98.565045411060069</c:v>
                </c:pt>
                <c:pt idx="31">
                  <c:v>72.821634861185956</c:v>
                </c:pt>
                <c:pt idx="32">
                  <c:v>9.0289770054408294</c:v>
                </c:pt>
                <c:pt idx="33">
                  <c:v>59.08929431882418</c:v>
                </c:pt>
                <c:pt idx="34">
                  <c:v>64.517279040944985</c:v>
                </c:pt>
                <c:pt idx="35">
                  <c:v>13.75209441459933</c:v>
                </c:pt>
                <c:pt idx="36">
                  <c:v>25.794162771515559</c:v>
                </c:pt>
                <c:pt idx="37">
                  <c:v>24.185229090045169</c:v>
                </c:pt>
                <c:pt idx="38">
                  <c:v>33.90297910487007</c:v>
                </c:pt>
                <c:pt idx="39">
                  <c:v>77.987554585762382</c:v>
                </c:pt>
                <c:pt idx="40">
                  <c:v>60.642905965959002</c:v>
                </c:pt>
                <c:pt idx="41">
                  <c:v>16.08080514174987</c:v>
                </c:pt>
                <c:pt idx="42">
                  <c:v>71.217922134753593</c:v>
                </c:pt>
                <c:pt idx="43">
                  <c:v>84.922341049417795</c:v>
                </c:pt>
                <c:pt idx="44">
                  <c:v>26.520236768172541</c:v>
                </c:pt>
                <c:pt idx="45">
                  <c:v>63.113862599726289</c:v>
                </c:pt>
                <c:pt idx="46">
                  <c:v>19.52429877980445</c:v>
                </c:pt>
                <c:pt idx="47">
                  <c:v>17.71106794070489</c:v>
                </c:pt>
                <c:pt idx="48">
                  <c:v>1.5456616528867431</c:v>
                </c:pt>
                <c:pt idx="49">
                  <c:v>85.300945546736003</c:v>
                </c:pt>
                <c:pt idx="50">
                  <c:v>16.949274668609249</c:v>
                </c:pt>
                <c:pt idx="51">
                  <c:v>9.7176493770768531</c:v>
                </c:pt>
                <c:pt idx="52">
                  <c:v>87.737307192795541</c:v>
                </c:pt>
                <c:pt idx="53">
                  <c:v>29.359184426449339</c:v>
                </c:pt>
                <c:pt idx="54">
                  <c:v>51.134239886093781</c:v>
                </c:pt>
                <c:pt idx="55">
                  <c:v>79.579266943610108</c:v>
                </c:pt>
                <c:pt idx="56">
                  <c:v>57.828014099617398</c:v>
                </c:pt>
                <c:pt idx="57">
                  <c:v>59.083326056901072</c:v>
                </c:pt>
                <c:pt idx="58">
                  <c:v>12.70605126518848</c:v>
                </c:pt>
                <c:pt idx="59">
                  <c:v>8.5347464993767996</c:v>
                </c:pt>
                <c:pt idx="60">
                  <c:v>72.609133372266157</c:v>
                </c:pt>
                <c:pt idx="61">
                  <c:v>27.08322512620742</c:v>
                </c:pt>
                <c:pt idx="62">
                  <c:v>83.598012051220579</c:v>
                </c:pt>
                <c:pt idx="63">
                  <c:v>25.024289816459529</c:v>
                </c:pt>
                <c:pt idx="64">
                  <c:v>95.486528066319408</c:v>
                </c:pt>
                <c:pt idx="65">
                  <c:v>24.773098950115749</c:v>
                </c:pt>
                <c:pt idx="66">
                  <c:v>4.6002642021752749</c:v>
                </c:pt>
                <c:pt idx="67">
                  <c:v>9.7834160651001483</c:v>
                </c:pt>
                <c:pt idx="68">
                  <c:v>39.850473439737343</c:v>
                </c:pt>
                <c:pt idx="69">
                  <c:v>62.585991571423641</c:v>
                </c:pt>
                <c:pt idx="70">
                  <c:v>7.0568747400429839</c:v>
                </c:pt>
                <c:pt idx="71">
                  <c:v>57.547417787587896</c:v>
                </c:pt>
                <c:pt idx="72">
                  <c:v>94.146480877652522</c:v>
                </c:pt>
                <c:pt idx="73">
                  <c:v>6.9361300875165446</c:v>
                </c:pt>
                <c:pt idx="74">
                  <c:v>7.1188648460228983</c:v>
                </c:pt>
                <c:pt idx="75">
                  <c:v>28.18547747733999</c:v>
                </c:pt>
                <c:pt idx="76">
                  <c:v>73.507104380388583</c:v>
                </c:pt>
                <c:pt idx="77">
                  <c:v>80.683473926726407</c:v>
                </c:pt>
                <c:pt idx="78">
                  <c:v>34.080354025301787</c:v>
                </c:pt>
                <c:pt idx="79">
                  <c:v>75.454287408468232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18-48F2-87A3-7B6950491E64}"/>
            </c:ext>
          </c:extLst>
        </c:ser>
        <c:ser>
          <c:idx val="1"/>
          <c:order val="1"/>
          <c:tx>
            <c:strRef>
              <c:f>Выборки!$K$1</c:f>
              <c:strCache>
                <c:ptCount val="1"/>
                <c:pt idx="0">
                  <c:v>Ср. значение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Выборки!$K$2:$K$81</c:f>
              <c:numCache>
                <c:formatCode>General</c:formatCode>
                <c:ptCount val="80"/>
                <c:pt idx="0">
                  <c:v>45.285893575385472</c:v>
                </c:pt>
                <c:pt idx="1">
                  <c:v>45.285893575385472</c:v>
                </c:pt>
                <c:pt idx="2">
                  <c:v>45.285893575385472</c:v>
                </c:pt>
                <c:pt idx="3">
                  <c:v>45.285893575385472</c:v>
                </c:pt>
                <c:pt idx="4">
                  <c:v>45.285893575385472</c:v>
                </c:pt>
                <c:pt idx="5">
                  <c:v>45.285893575385472</c:v>
                </c:pt>
                <c:pt idx="6">
                  <c:v>45.285893575385472</c:v>
                </c:pt>
                <c:pt idx="7">
                  <c:v>45.285893575385472</c:v>
                </c:pt>
                <c:pt idx="8">
                  <c:v>45.285893575385472</c:v>
                </c:pt>
                <c:pt idx="9">
                  <c:v>45.285893575385472</c:v>
                </c:pt>
                <c:pt idx="10">
                  <c:v>45.285893575385472</c:v>
                </c:pt>
                <c:pt idx="11">
                  <c:v>45.285893575385472</c:v>
                </c:pt>
                <c:pt idx="12">
                  <c:v>45.285893575385472</c:v>
                </c:pt>
                <c:pt idx="13">
                  <c:v>45.285893575385472</c:v>
                </c:pt>
                <c:pt idx="14">
                  <c:v>45.285893575385472</c:v>
                </c:pt>
                <c:pt idx="15">
                  <c:v>45.285893575385472</c:v>
                </c:pt>
                <c:pt idx="16">
                  <c:v>45.285893575385472</c:v>
                </c:pt>
                <c:pt idx="17">
                  <c:v>45.285893575385472</c:v>
                </c:pt>
                <c:pt idx="18">
                  <c:v>45.285893575385472</c:v>
                </c:pt>
                <c:pt idx="19">
                  <c:v>45.285893575385472</c:v>
                </c:pt>
                <c:pt idx="20">
                  <c:v>45.285893575385472</c:v>
                </c:pt>
                <c:pt idx="21">
                  <c:v>45.285893575385472</c:v>
                </c:pt>
                <c:pt idx="22">
                  <c:v>45.285893575385472</c:v>
                </c:pt>
                <c:pt idx="23">
                  <c:v>45.285893575385472</c:v>
                </c:pt>
                <c:pt idx="24">
                  <c:v>45.285893575385472</c:v>
                </c:pt>
                <c:pt idx="25">
                  <c:v>45.285893575385472</c:v>
                </c:pt>
                <c:pt idx="26">
                  <c:v>45.285893575385472</c:v>
                </c:pt>
                <c:pt idx="27">
                  <c:v>45.285893575385472</c:v>
                </c:pt>
                <c:pt idx="28">
                  <c:v>45.285893575385472</c:v>
                </c:pt>
                <c:pt idx="29">
                  <c:v>45.285893575385472</c:v>
                </c:pt>
                <c:pt idx="30">
                  <c:v>45.285893575385472</c:v>
                </c:pt>
                <c:pt idx="31">
                  <c:v>45.285893575385472</c:v>
                </c:pt>
                <c:pt idx="32">
                  <c:v>45.285893575385472</c:v>
                </c:pt>
                <c:pt idx="33">
                  <c:v>45.285893575385472</c:v>
                </c:pt>
                <c:pt idx="34">
                  <c:v>45.285893575385472</c:v>
                </c:pt>
                <c:pt idx="35">
                  <c:v>45.285893575385472</c:v>
                </c:pt>
                <c:pt idx="36">
                  <c:v>45.285893575385472</c:v>
                </c:pt>
                <c:pt idx="37">
                  <c:v>45.285893575385472</c:v>
                </c:pt>
                <c:pt idx="38">
                  <c:v>45.285893575385472</c:v>
                </c:pt>
                <c:pt idx="39">
                  <c:v>45.285893575385472</c:v>
                </c:pt>
                <c:pt idx="40">
                  <c:v>45.285893575385472</c:v>
                </c:pt>
                <c:pt idx="41">
                  <c:v>45.285893575385472</c:v>
                </c:pt>
                <c:pt idx="42">
                  <c:v>45.285893575385472</c:v>
                </c:pt>
                <c:pt idx="43">
                  <c:v>45.285893575385472</c:v>
                </c:pt>
                <c:pt idx="44">
                  <c:v>45.285893575385472</c:v>
                </c:pt>
                <c:pt idx="45">
                  <c:v>45.285893575385472</c:v>
                </c:pt>
                <c:pt idx="46">
                  <c:v>45.285893575385472</c:v>
                </c:pt>
                <c:pt idx="47">
                  <c:v>45.285893575385472</c:v>
                </c:pt>
                <c:pt idx="48">
                  <c:v>45.285893575385472</c:v>
                </c:pt>
                <c:pt idx="49">
                  <c:v>45.285893575385472</c:v>
                </c:pt>
                <c:pt idx="50">
                  <c:v>45.285893575385472</c:v>
                </c:pt>
                <c:pt idx="51">
                  <c:v>45.285893575385472</c:v>
                </c:pt>
                <c:pt idx="52">
                  <c:v>45.285893575385472</c:v>
                </c:pt>
                <c:pt idx="53">
                  <c:v>45.285893575385472</c:v>
                </c:pt>
                <c:pt idx="54">
                  <c:v>45.285893575385472</c:v>
                </c:pt>
                <c:pt idx="55">
                  <c:v>45.285893575385472</c:v>
                </c:pt>
                <c:pt idx="56">
                  <c:v>45.285893575385472</c:v>
                </c:pt>
                <c:pt idx="57">
                  <c:v>45.285893575385472</c:v>
                </c:pt>
                <c:pt idx="58">
                  <c:v>45.285893575385472</c:v>
                </c:pt>
                <c:pt idx="59">
                  <c:v>45.285893575385472</c:v>
                </c:pt>
                <c:pt idx="60">
                  <c:v>45.285893575385472</c:v>
                </c:pt>
                <c:pt idx="61">
                  <c:v>45.285893575385472</c:v>
                </c:pt>
                <c:pt idx="62">
                  <c:v>45.285893575385472</c:v>
                </c:pt>
                <c:pt idx="63">
                  <c:v>45.285893575385472</c:v>
                </c:pt>
                <c:pt idx="64">
                  <c:v>45.285893575385472</c:v>
                </c:pt>
                <c:pt idx="65">
                  <c:v>45.285893575385472</c:v>
                </c:pt>
                <c:pt idx="66">
                  <c:v>45.285893575385472</c:v>
                </c:pt>
                <c:pt idx="67">
                  <c:v>45.285893575385472</c:v>
                </c:pt>
                <c:pt idx="68">
                  <c:v>45.285893575385472</c:v>
                </c:pt>
                <c:pt idx="69">
                  <c:v>45.285893575385472</c:v>
                </c:pt>
                <c:pt idx="70">
                  <c:v>45.285893575385472</c:v>
                </c:pt>
                <c:pt idx="71">
                  <c:v>45.285893575385472</c:v>
                </c:pt>
                <c:pt idx="72">
                  <c:v>45.285893575385472</c:v>
                </c:pt>
                <c:pt idx="73">
                  <c:v>45.285893575385472</c:v>
                </c:pt>
                <c:pt idx="74">
                  <c:v>45.285893575385472</c:v>
                </c:pt>
                <c:pt idx="75">
                  <c:v>45.285893575385472</c:v>
                </c:pt>
                <c:pt idx="76">
                  <c:v>45.285893575385472</c:v>
                </c:pt>
                <c:pt idx="77">
                  <c:v>45.285893575385472</c:v>
                </c:pt>
                <c:pt idx="78">
                  <c:v>45.285893575385472</c:v>
                </c:pt>
                <c:pt idx="79">
                  <c:v>45.285893575385472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18-48F2-87A3-7B6950491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96240"/>
        <c:axId val="617798536"/>
      </c:scatterChart>
      <c:valAx>
        <c:axId val="617796240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Индекс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798536"/>
        <c:crosses val="autoZero"/>
        <c:crossBetween val="midCat"/>
      </c:valAx>
      <c:valAx>
        <c:axId val="6177985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79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1066693963530242E-2"/>
          <c:y val="0.12221398934887789"/>
          <c:w val="0.20292008576004025"/>
          <c:h val="9.819804835537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Послойная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7374189338325142E-2"/>
          <c:y val="0.11891767028478309"/>
          <c:w val="0.90082968292365295"/>
          <c:h val="0.73871679098024912"/>
        </c:manualLayout>
      </c:layout>
      <c:scatterChart>
        <c:scatterStyle val="lineMarker"/>
        <c:varyColors val="0"/>
        <c:ser>
          <c:idx val="0"/>
          <c:order val="0"/>
          <c:tx>
            <c:strRef>
              <c:f>Выборки!$N$1</c:f>
              <c:strCache>
                <c:ptCount val="1"/>
                <c:pt idx="0">
                  <c:v>Значение_Послойная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Выборки!$N$2:$N$81</c:f>
              <c:numCache>
                <c:formatCode>General</c:formatCode>
                <c:ptCount val="80"/>
                <c:pt idx="0">
                  <c:v>66.252228435398195</c:v>
                </c:pt>
                <c:pt idx="1">
                  <c:v>54.671027934327967</c:v>
                </c:pt>
                <c:pt idx="2">
                  <c:v>25.877998160001692</c:v>
                </c:pt>
                <c:pt idx="3">
                  <c:v>54.269608315824847</c:v>
                </c:pt>
                <c:pt idx="4">
                  <c:v>18.340450985343381</c:v>
                </c:pt>
                <c:pt idx="5">
                  <c:v>12.20382348447788</c:v>
                </c:pt>
                <c:pt idx="6">
                  <c:v>3.43885211152184</c:v>
                </c:pt>
                <c:pt idx="7">
                  <c:v>80.83973481164611</c:v>
                </c:pt>
                <c:pt idx="8">
                  <c:v>28.093450968738079</c:v>
                </c:pt>
                <c:pt idx="9">
                  <c:v>45.606998421703587</c:v>
                </c:pt>
                <c:pt idx="10">
                  <c:v>52.475643163223793</c:v>
                </c:pt>
                <c:pt idx="11">
                  <c:v>5.8083612168199474</c:v>
                </c:pt>
                <c:pt idx="12">
                  <c:v>93.949894156418907</c:v>
                </c:pt>
                <c:pt idx="13">
                  <c:v>49.51769101112702</c:v>
                </c:pt>
                <c:pt idx="14">
                  <c:v>89.482735042764887</c:v>
                </c:pt>
                <c:pt idx="15">
                  <c:v>17.052412368729151</c:v>
                </c:pt>
                <c:pt idx="16">
                  <c:v>80.74401551640625</c:v>
                </c:pt>
                <c:pt idx="17">
                  <c:v>88.721274257632658</c:v>
                </c:pt>
                <c:pt idx="18">
                  <c:v>49.379559636439083</c:v>
                </c:pt>
                <c:pt idx="19">
                  <c:v>42.754101835854961</c:v>
                </c:pt>
                <c:pt idx="20">
                  <c:v>33.089802485264919</c:v>
                </c:pt>
                <c:pt idx="21">
                  <c:v>16.12212872540044</c:v>
                </c:pt>
                <c:pt idx="22">
                  <c:v>11.00519245276768</c:v>
                </c:pt>
                <c:pt idx="23">
                  <c:v>86.310342587559347</c:v>
                </c:pt>
                <c:pt idx="24">
                  <c:v>42.710778862625631</c:v>
                </c:pt>
                <c:pt idx="25">
                  <c:v>52.273282938199408</c:v>
                </c:pt>
                <c:pt idx="26">
                  <c:v>56.127719756949617</c:v>
                </c:pt>
                <c:pt idx="27">
                  <c:v>80.812037956441699</c:v>
                </c:pt>
                <c:pt idx="28">
                  <c:v>48.9452760277563</c:v>
                </c:pt>
                <c:pt idx="29">
                  <c:v>3.1429185686734251</c:v>
                </c:pt>
                <c:pt idx="30">
                  <c:v>53.934224191565072</c:v>
                </c:pt>
                <c:pt idx="31">
                  <c:v>90.826588596665374</c:v>
                </c:pt>
                <c:pt idx="32">
                  <c:v>97.301055475244553</c:v>
                </c:pt>
                <c:pt idx="33">
                  <c:v>89.855418852707928</c:v>
                </c:pt>
                <c:pt idx="34">
                  <c:v>53.577468407475848</c:v>
                </c:pt>
                <c:pt idx="35">
                  <c:v>22.649577519793791</c:v>
                </c:pt>
                <c:pt idx="36">
                  <c:v>74.649140511802415</c:v>
                </c:pt>
                <c:pt idx="37">
                  <c:v>9.0289770054408294</c:v>
                </c:pt>
                <c:pt idx="38">
                  <c:v>69.189519769269324</c:v>
                </c:pt>
                <c:pt idx="39">
                  <c:v>64.963289904721464</c:v>
                </c:pt>
                <c:pt idx="40">
                  <c:v>1.658782892785615</c:v>
                </c:pt>
                <c:pt idx="41">
                  <c:v>88.70864242651173</c:v>
                </c:pt>
                <c:pt idx="42">
                  <c:v>24.185229090045169</c:v>
                </c:pt>
                <c:pt idx="43">
                  <c:v>63.352971076089467</c:v>
                </c:pt>
                <c:pt idx="44">
                  <c:v>17.436642900499141</c:v>
                </c:pt>
                <c:pt idx="45">
                  <c:v>51.209305829928098</c:v>
                </c:pt>
                <c:pt idx="46">
                  <c:v>89.721575795332669</c:v>
                </c:pt>
                <c:pt idx="47">
                  <c:v>79.481130354164847</c:v>
                </c:pt>
                <c:pt idx="48">
                  <c:v>15.64370426710861</c:v>
                </c:pt>
                <c:pt idx="49">
                  <c:v>96.361997708925287</c:v>
                </c:pt>
                <c:pt idx="50">
                  <c:v>29.444889206958571</c:v>
                </c:pt>
                <c:pt idx="51">
                  <c:v>16.949274668609249</c:v>
                </c:pt>
                <c:pt idx="52">
                  <c:v>92.831856258772532</c:v>
                </c:pt>
                <c:pt idx="53">
                  <c:v>7.8456381342265953</c:v>
                </c:pt>
                <c:pt idx="54">
                  <c:v>89.000534181756635</c:v>
                </c:pt>
                <c:pt idx="55">
                  <c:v>37.558295263994403</c:v>
                </c:pt>
                <c:pt idx="56">
                  <c:v>50.15162946871996</c:v>
                </c:pt>
                <c:pt idx="57">
                  <c:v>93.615477416078093</c:v>
                </c:pt>
                <c:pt idx="58">
                  <c:v>29.359184426449339</c:v>
                </c:pt>
                <c:pt idx="59">
                  <c:v>80.936115547851358</c:v>
                </c:pt>
                <c:pt idx="60">
                  <c:v>69.701574099526795</c:v>
                </c:pt>
                <c:pt idx="61">
                  <c:v>95.39285770025873</c:v>
                </c:pt>
                <c:pt idx="62">
                  <c:v>38.509772860192527</c:v>
                </c:pt>
                <c:pt idx="63">
                  <c:v>85.113667151685689</c:v>
                </c:pt>
                <c:pt idx="64">
                  <c:v>19.579113478929639</c:v>
                </c:pt>
                <c:pt idx="65">
                  <c:v>1.4393488629755871</c:v>
                </c:pt>
                <c:pt idx="66">
                  <c:v>34.080354025301787</c:v>
                </c:pt>
                <c:pt idx="67">
                  <c:v>4.6002642021752749</c:v>
                </c:pt>
                <c:pt idx="68">
                  <c:v>95.486528066319408</c:v>
                </c:pt>
                <c:pt idx="69">
                  <c:v>41.261767691142651</c:v>
                </c:pt>
                <c:pt idx="70">
                  <c:v>68.300677341635691</c:v>
                </c:pt>
                <c:pt idx="71">
                  <c:v>96.11905638239142</c:v>
                </c:pt>
                <c:pt idx="72">
                  <c:v>94.023024142495757</c:v>
                </c:pt>
                <c:pt idx="73">
                  <c:v>66.019737671773129</c:v>
                </c:pt>
                <c:pt idx="74">
                  <c:v>84.48753109694546</c:v>
                </c:pt>
                <c:pt idx="75">
                  <c:v>7.0568747400429839</c:v>
                </c:pt>
                <c:pt idx="76">
                  <c:v>65.869363161894498</c:v>
                </c:pt>
                <c:pt idx="77">
                  <c:v>85.841275184301182</c:v>
                </c:pt>
                <c:pt idx="78">
                  <c:v>87.747201352705289</c:v>
                </c:pt>
                <c:pt idx="79">
                  <c:v>4.0728802318970132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11-4608-B356-6E4D4B5630C9}"/>
            </c:ext>
          </c:extLst>
        </c:ser>
        <c:ser>
          <c:idx val="1"/>
          <c:order val="1"/>
          <c:tx>
            <c:strRef>
              <c:f>Выборки!$Q$1</c:f>
              <c:strCache>
                <c:ptCount val="1"/>
                <c:pt idx="0">
                  <c:v>Ср. значение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Выборки!$Q$2:$Q$81</c:f>
              <c:numCache>
                <c:formatCode>General</c:formatCode>
                <c:ptCount val="80"/>
                <c:pt idx="0">
                  <c:v>52.701879359876543</c:v>
                </c:pt>
                <c:pt idx="1">
                  <c:v>52.701879359876543</c:v>
                </c:pt>
                <c:pt idx="2">
                  <c:v>52.701879359876543</c:v>
                </c:pt>
                <c:pt idx="3">
                  <c:v>52.701879359876543</c:v>
                </c:pt>
                <c:pt idx="4">
                  <c:v>52.701879359876543</c:v>
                </c:pt>
                <c:pt idx="5">
                  <c:v>52.701879359876543</c:v>
                </c:pt>
                <c:pt idx="6">
                  <c:v>52.701879359876543</c:v>
                </c:pt>
                <c:pt idx="7">
                  <c:v>52.701879359876543</c:v>
                </c:pt>
                <c:pt idx="8">
                  <c:v>52.701879359876543</c:v>
                </c:pt>
                <c:pt idx="9">
                  <c:v>52.701879359876543</c:v>
                </c:pt>
                <c:pt idx="10">
                  <c:v>52.701879359876543</c:v>
                </c:pt>
                <c:pt idx="11">
                  <c:v>52.701879359876543</c:v>
                </c:pt>
                <c:pt idx="12">
                  <c:v>52.701879359876543</c:v>
                </c:pt>
                <c:pt idx="13">
                  <c:v>52.701879359876543</c:v>
                </c:pt>
                <c:pt idx="14">
                  <c:v>52.701879359876543</c:v>
                </c:pt>
                <c:pt idx="15">
                  <c:v>52.701879359876543</c:v>
                </c:pt>
                <c:pt idx="16">
                  <c:v>52.701879359876543</c:v>
                </c:pt>
                <c:pt idx="17">
                  <c:v>52.701879359876543</c:v>
                </c:pt>
                <c:pt idx="18">
                  <c:v>52.701879359876543</c:v>
                </c:pt>
                <c:pt idx="19">
                  <c:v>52.701879359876543</c:v>
                </c:pt>
                <c:pt idx="20">
                  <c:v>52.701879359876543</c:v>
                </c:pt>
                <c:pt idx="21">
                  <c:v>52.701879359876543</c:v>
                </c:pt>
                <c:pt idx="22">
                  <c:v>52.701879359876543</c:v>
                </c:pt>
                <c:pt idx="23">
                  <c:v>52.701879359876543</c:v>
                </c:pt>
                <c:pt idx="24">
                  <c:v>52.701879359876543</c:v>
                </c:pt>
                <c:pt idx="25">
                  <c:v>52.701879359876543</c:v>
                </c:pt>
                <c:pt idx="26">
                  <c:v>52.701879359876543</c:v>
                </c:pt>
                <c:pt idx="27">
                  <c:v>52.701879359876543</c:v>
                </c:pt>
                <c:pt idx="28">
                  <c:v>52.701879359876543</c:v>
                </c:pt>
                <c:pt idx="29">
                  <c:v>52.701879359876543</c:v>
                </c:pt>
                <c:pt idx="30">
                  <c:v>52.701879359876543</c:v>
                </c:pt>
                <c:pt idx="31">
                  <c:v>52.701879359876543</c:v>
                </c:pt>
                <c:pt idx="32">
                  <c:v>52.701879359876543</c:v>
                </c:pt>
                <c:pt idx="33">
                  <c:v>52.701879359876543</c:v>
                </c:pt>
                <c:pt idx="34">
                  <c:v>52.701879359876543</c:v>
                </c:pt>
                <c:pt idx="35">
                  <c:v>52.701879359876543</c:v>
                </c:pt>
                <c:pt idx="36">
                  <c:v>52.701879359876543</c:v>
                </c:pt>
                <c:pt idx="37">
                  <c:v>52.701879359876543</c:v>
                </c:pt>
                <c:pt idx="38">
                  <c:v>52.701879359876543</c:v>
                </c:pt>
                <c:pt idx="39">
                  <c:v>52.701879359876543</c:v>
                </c:pt>
                <c:pt idx="40">
                  <c:v>52.701879359876543</c:v>
                </c:pt>
                <c:pt idx="41">
                  <c:v>52.701879359876543</c:v>
                </c:pt>
                <c:pt idx="42">
                  <c:v>52.701879359876543</c:v>
                </c:pt>
                <c:pt idx="43">
                  <c:v>52.701879359876543</c:v>
                </c:pt>
                <c:pt idx="44">
                  <c:v>52.701879359876543</c:v>
                </c:pt>
                <c:pt idx="45">
                  <c:v>52.701879359876543</c:v>
                </c:pt>
                <c:pt idx="46">
                  <c:v>52.701879359876543</c:v>
                </c:pt>
                <c:pt idx="47">
                  <c:v>52.701879359876543</c:v>
                </c:pt>
                <c:pt idx="48">
                  <c:v>52.701879359876543</c:v>
                </c:pt>
                <c:pt idx="49">
                  <c:v>52.701879359876543</c:v>
                </c:pt>
                <c:pt idx="50">
                  <c:v>52.701879359876543</c:v>
                </c:pt>
                <c:pt idx="51">
                  <c:v>52.701879359876543</c:v>
                </c:pt>
                <c:pt idx="52">
                  <c:v>52.701879359876543</c:v>
                </c:pt>
                <c:pt idx="53">
                  <c:v>52.701879359876543</c:v>
                </c:pt>
                <c:pt idx="54">
                  <c:v>52.701879359876543</c:v>
                </c:pt>
                <c:pt idx="55">
                  <c:v>52.701879359876543</c:v>
                </c:pt>
                <c:pt idx="56">
                  <c:v>52.701879359876543</c:v>
                </c:pt>
                <c:pt idx="57">
                  <c:v>52.701879359876543</c:v>
                </c:pt>
                <c:pt idx="58">
                  <c:v>52.701879359876543</c:v>
                </c:pt>
                <c:pt idx="59">
                  <c:v>52.701879359876543</c:v>
                </c:pt>
                <c:pt idx="60">
                  <c:v>52.701879359876543</c:v>
                </c:pt>
                <c:pt idx="61">
                  <c:v>52.701879359876543</c:v>
                </c:pt>
                <c:pt idx="62">
                  <c:v>52.701879359876543</c:v>
                </c:pt>
                <c:pt idx="63">
                  <c:v>52.701879359876543</c:v>
                </c:pt>
                <c:pt idx="64">
                  <c:v>52.701879359876543</c:v>
                </c:pt>
                <c:pt idx="65">
                  <c:v>52.701879359876543</c:v>
                </c:pt>
                <c:pt idx="66">
                  <c:v>52.701879359876543</c:v>
                </c:pt>
                <c:pt idx="67">
                  <c:v>52.701879359876543</c:v>
                </c:pt>
                <c:pt idx="68">
                  <c:v>52.701879359876543</c:v>
                </c:pt>
                <c:pt idx="69">
                  <c:v>52.701879359876543</c:v>
                </c:pt>
                <c:pt idx="70">
                  <c:v>52.701879359876543</c:v>
                </c:pt>
                <c:pt idx="71">
                  <c:v>52.701879359876543</c:v>
                </c:pt>
                <c:pt idx="72">
                  <c:v>52.701879359876543</c:v>
                </c:pt>
                <c:pt idx="73">
                  <c:v>52.701879359876543</c:v>
                </c:pt>
                <c:pt idx="74">
                  <c:v>52.701879359876543</c:v>
                </c:pt>
                <c:pt idx="75">
                  <c:v>52.701879359876543</c:v>
                </c:pt>
                <c:pt idx="76">
                  <c:v>52.701879359876543</c:v>
                </c:pt>
                <c:pt idx="77">
                  <c:v>52.701879359876543</c:v>
                </c:pt>
                <c:pt idx="78">
                  <c:v>52.701879359876543</c:v>
                </c:pt>
                <c:pt idx="79">
                  <c:v>52.701879359876543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11-4608-B356-6E4D4B563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96240"/>
        <c:axId val="617798536"/>
      </c:scatterChart>
      <c:valAx>
        <c:axId val="617796240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Индекс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798536"/>
        <c:crosses val="autoZero"/>
        <c:crossBetween val="midCat"/>
      </c:valAx>
      <c:valAx>
        <c:axId val="6177985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79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829294229900649E-2"/>
          <c:y val="0.11900779710609594"/>
          <c:w val="0.20211601827276049"/>
          <c:h val="9.7826771653543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11785</xdr:rowOff>
    </xdr:from>
    <xdr:to>
      <xdr:col>5</xdr:col>
      <xdr:colOff>8282</xdr:colOff>
      <xdr:row>104</xdr:row>
      <xdr:rowOff>16564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81</xdr:row>
      <xdr:rowOff>8284</xdr:rowOff>
    </xdr:from>
    <xdr:to>
      <xdr:col>11</xdr:col>
      <xdr:colOff>8283</xdr:colOff>
      <xdr:row>103</xdr:row>
      <xdr:rowOff>182218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81</xdr:row>
      <xdr:rowOff>0</xdr:rowOff>
    </xdr:from>
    <xdr:to>
      <xdr:col>17</xdr:col>
      <xdr:colOff>0</xdr:colOff>
      <xdr:row>104</xdr:row>
      <xdr:rowOff>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topLeftCell="F1" zoomScale="160" zoomScaleNormal="160" workbookViewId="0">
      <selection activeCell="I17" sqref="I17"/>
    </sheetView>
  </sheetViews>
  <sheetFormatPr defaultRowHeight="15" x14ac:dyDescent="0.25"/>
  <cols>
    <col min="1" max="1" width="25.28515625" customWidth="1"/>
    <col min="2" max="2" width="9.28515625" customWidth="1"/>
    <col min="5" max="5" width="10.42578125" customWidth="1"/>
    <col min="6" max="6" width="9.85546875" customWidth="1"/>
    <col min="7" max="7" width="8.42578125" customWidth="1"/>
    <col min="8" max="8" width="7.140625" customWidth="1"/>
    <col min="9" max="9" width="14.42578125" customWidth="1"/>
    <col min="10" max="10" width="13.28515625" customWidth="1"/>
    <col min="11" max="11" width="10.5703125" customWidth="1"/>
    <col min="12" max="12" width="10.28515625" customWidth="1"/>
  </cols>
  <sheetData>
    <row r="1" spans="1: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29</v>
      </c>
      <c r="H1" s="5" t="s">
        <v>6</v>
      </c>
      <c r="I1" s="5" t="s">
        <v>26</v>
      </c>
      <c r="J1" s="5" t="s">
        <v>27</v>
      </c>
      <c r="K1" s="5" t="s">
        <v>30</v>
      </c>
      <c r="L1" s="5" t="s">
        <v>31</v>
      </c>
    </row>
    <row r="2" spans="1:12" x14ac:dyDescent="0.25">
      <c r="A2" t="s">
        <v>7</v>
      </c>
      <c r="B2">
        <v>400</v>
      </c>
      <c r="C2">
        <f>AVERAGE(Генеральная_совокупность!B:B)</f>
        <v>49.419068452137765</v>
      </c>
      <c r="D2">
        <f>MEDIAN(Генеральная_совокупность!B:B)</f>
        <v>51.171772858010939</v>
      </c>
      <c r="E2" t="e">
        <f>_xlfn.MODE.MULT(Генеральная_совокупность!B:B)</f>
        <v>#N/A</v>
      </c>
      <c r="F2">
        <f>_xlfn.VAR.P(Генеральная_совокупность!B:B)</f>
        <v>860.77023717697193</v>
      </c>
      <c r="G2">
        <f>_xlfn.STDEV.P(Генеральная_совокупность!B:B)</f>
        <v>29.338886092981987</v>
      </c>
      <c r="H2">
        <f>MAX(Генеральная_совокупность!B:B)-MIN(Генеральная_совокупность!B:B)</f>
        <v>98.544355815445456</v>
      </c>
      <c r="I2">
        <f>(Статистики!G2:G2/Статистики!C2)*100%</f>
        <v>0.59367541744330166</v>
      </c>
      <c r="J2">
        <f>G2/SQRT(B2)</f>
        <v>1.4669443046490993</v>
      </c>
      <c r="K2">
        <f>MAX(Генеральная_совокупность!B:B)</f>
        <v>99.050514200067326</v>
      </c>
      <c r="L2">
        <f>MIN(Генеральная_совокупность!B:B)</f>
        <v>0.50615838462186868</v>
      </c>
    </row>
    <row r="3" spans="1:12" x14ac:dyDescent="0.25">
      <c r="A3" t="s">
        <v>8</v>
      </c>
      <c r="B3">
        <v>80</v>
      </c>
      <c r="C3">
        <f>AVERAGE(Выборки!B:B)</f>
        <v>53.17383711677958</v>
      </c>
      <c r="D3">
        <f>MEDIAN(Выборки!B:B)</f>
        <v>54.403801564111845</v>
      </c>
      <c r="E3" t="e">
        <f>_xlfn.MODE.MULT(Выборки!B:B)</f>
        <v>#N/A</v>
      </c>
      <c r="F3">
        <f>_xlfn.VAR.S(Выборки!B:B)</f>
        <v>936.40484280164628</v>
      </c>
      <c r="G3">
        <f>_xlfn.STDEV.S(Выборки!B:B)</f>
        <v>30.600732716744648</v>
      </c>
      <c r="H3">
        <f>MAX(Выборки!B:B)-MIN(Выборки!B:B)</f>
        <v>97.504852547180576</v>
      </c>
      <c r="I3">
        <f>(Статистики!G3:G3/Статистики!C3)*100%</f>
        <v>0.57548475671484423</v>
      </c>
      <c r="J3">
        <f t="shared" ref="J3:J5" si="0">G3/SQRT(B3)</f>
        <v>3.4212659257971425</v>
      </c>
      <c r="K3">
        <f>MAX(Выборки!B:B)</f>
        <v>99.050514200067326</v>
      </c>
      <c r="L3">
        <f>MIN(Выборки!B:B)</f>
        <v>1.5456616528867431</v>
      </c>
    </row>
    <row r="4" spans="1:12" x14ac:dyDescent="0.25">
      <c r="A4" t="s">
        <v>9</v>
      </c>
      <c r="B4">
        <v>80</v>
      </c>
      <c r="C4">
        <f>AVERAGE(Выборки!H:H)</f>
        <v>45.285893575385472</v>
      </c>
      <c r="D4">
        <f>MEDIAN(Выборки!H:H)</f>
        <v>36.965413732519565</v>
      </c>
      <c r="E4" t="e">
        <f>_xlfn.MODE.MULT(Выборки!H:H)</f>
        <v>#N/A</v>
      </c>
      <c r="F4">
        <f>_xlfn.VAR.S(Выборки!H:H)</f>
        <v>894.75573405391117</v>
      </c>
      <c r="G4">
        <f>_xlfn.STDEV.S(Выборки!H:H)</f>
        <v>29.912467869667843</v>
      </c>
      <c r="H4">
        <f>MAX(Выборки!H:H)-MIN(Выборки!H:H)</f>
        <v>97.143032007164976</v>
      </c>
      <c r="I4">
        <f>(Статистики!G4:G4/Статистики!C4)*100%</f>
        <v>0.6605250665943877</v>
      </c>
      <c r="J4">
        <f t="shared" si="0"/>
        <v>3.3443155765677806</v>
      </c>
      <c r="K4">
        <f>MAX(Выборки!H:H)</f>
        <v>98.688693660051726</v>
      </c>
      <c r="L4">
        <f>MIN(Выборки!H:H)</f>
        <v>1.5456616528867431</v>
      </c>
    </row>
    <row r="5" spans="1:12" x14ac:dyDescent="0.25">
      <c r="A5" t="s">
        <v>10</v>
      </c>
      <c r="B5">
        <v>80</v>
      </c>
      <c r="C5">
        <f>AVERAGE(Выборки!N:N)</f>
        <v>52.701879359876543</v>
      </c>
      <c r="D5">
        <f>MEDIAN(Выборки!N:N)</f>
        <v>53.026555785349821</v>
      </c>
      <c r="E5" t="e">
        <f>_xlfn.MODE.MULT(Выборки!N:N)</f>
        <v>#N/A</v>
      </c>
      <c r="F5">
        <f>_xlfn.VAR.S(Выборки!N:N)</f>
        <v>986.95930643107363</v>
      </c>
      <c r="G5">
        <f>_xlfn.STDEV.S(Выборки!N:N)</f>
        <v>31.415908492849187</v>
      </c>
      <c r="H5">
        <f>MAX(Выборки!N:N)-MIN(Выборки!N:N)</f>
        <v>95.861706612268961</v>
      </c>
      <c r="I5">
        <f>(Статистики!G5:G5/Статистики!C5)*100%</f>
        <v>0.59610603785729555</v>
      </c>
      <c r="J5">
        <f t="shared" si="0"/>
        <v>3.5124053482461872</v>
      </c>
      <c r="K5">
        <f>MAX(Выборки!N:N)</f>
        <v>97.301055475244553</v>
      </c>
      <c r="L5">
        <f>MIN(Выборки!N:N)</f>
        <v>1.4393488629755871</v>
      </c>
    </row>
    <row r="7" spans="1:12" x14ac:dyDescent="0.25">
      <c r="B7" t="s">
        <v>28</v>
      </c>
    </row>
  </sheetData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1"/>
  <sheetViews>
    <sheetView zoomScale="295" zoomScaleNormal="295" workbookViewId="0"/>
  </sheetViews>
  <sheetFormatPr defaultRowHeight="15" x14ac:dyDescent="0.25"/>
  <sheetData>
    <row r="1" spans="1:2" x14ac:dyDescent="0.25">
      <c r="A1" s="3" t="s">
        <v>11</v>
      </c>
      <c r="B1" s="3" t="s">
        <v>12</v>
      </c>
    </row>
    <row r="2" spans="1:2" x14ac:dyDescent="0.25">
      <c r="A2">
        <v>1</v>
      </c>
      <c r="B2">
        <v>37.454011884736303</v>
      </c>
    </row>
    <row r="3" spans="1:2" x14ac:dyDescent="0.25">
      <c r="A3">
        <v>2</v>
      </c>
      <c r="B3">
        <v>95.071430640991622</v>
      </c>
    </row>
    <row r="4" spans="1:2" x14ac:dyDescent="0.25">
      <c r="A4">
        <v>3</v>
      </c>
      <c r="B4">
        <v>73.199394181140505</v>
      </c>
    </row>
    <row r="5" spans="1:2" x14ac:dyDescent="0.25">
      <c r="A5">
        <v>4</v>
      </c>
      <c r="B5">
        <v>59.86584841970366</v>
      </c>
    </row>
    <row r="6" spans="1:2" x14ac:dyDescent="0.25">
      <c r="A6">
        <v>5</v>
      </c>
      <c r="B6">
        <v>15.60186404424365</v>
      </c>
    </row>
    <row r="7" spans="1:2" x14ac:dyDescent="0.25">
      <c r="A7">
        <v>6</v>
      </c>
      <c r="B7">
        <v>15.59945203362027</v>
      </c>
    </row>
    <row r="8" spans="1:2" x14ac:dyDescent="0.25">
      <c r="A8">
        <v>7</v>
      </c>
      <c r="B8">
        <v>5.8083612168199474</v>
      </c>
    </row>
    <row r="9" spans="1:2" x14ac:dyDescent="0.25">
      <c r="A9">
        <v>8</v>
      </c>
      <c r="B9">
        <v>86.617614577493512</v>
      </c>
    </row>
    <row r="10" spans="1:2" x14ac:dyDescent="0.25">
      <c r="A10">
        <v>9</v>
      </c>
      <c r="B10">
        <v>60.111501174320878</v>
      </c>
    </row>
    <row r="11" spans="1:2" x14ac:dyDescent="0.25">
      <c r="A11">
        <v>10</v>
      </c>
      <c r="B11">
        <v>70.807257779604555</v>
      </c>
    </row>
    <row r="12" spans="1:2" x14ac:dyDescent="0.25">
      <c r="A12">
        <v>11</v>
      </c>
      <c r="B12">
        <v>2.0584494295802451</v>
      </c>
    </row>
    <row r="13" spans="1:2" x14ac:dyDescent="0.25">
      <c r="A13">
        <v>12</v>
      </c>
      <c r="B13">
        <v>96.990985216199434</v>
      </c>
    </row>
    <row r="14" spans="1:2" x14ac:dyDescent="0.25">
      <c r="A14">
        <v>13</v>
      </c>
      <c r="B14">
        <v>83.244264080042171</v>
      </c>
    </row>
    <row r="15" spans="1:2" x14ac:dyDescent="0.25">
      <c r="A15">
        <v>14</v>
      </c>
      <c r="B15">
        <v>21.23391106782762</v>
      </c>
    </row>
    <row r="16" spans="1:2" x14ac:dyDescent="0.25">
      <c r="A16">
        <v>15</v>
      </c>
      <c r="B16">
        <v>18.182496720710059</v>
      </c>
    </row>
    <row r="17" spans="1:2" x14ac:dyDescent="0.25">
      <c r="A17">
        <v>16</v>
      </c>
      <c r="B17">
        <v>18.340450985343381</v>
      </c>
    </row>
    <row r="18" spans="1:2" x14ac:dyDescent="0.25">
      <c r="A18">
        <v>17</v>
      </c>
      <c r="B18">
        <v>30.424224295953771</v>
      </c>
    </row>
    <row r="19" spans="1:2" x14ac:dyDescent="0.25">
      <c r="A19">
        <v>18</v>
      </c>
      <c r="B19">
        <v>52.475643163223793</v>
      </c>
    </row>
    <row r="20" spans="1:2" x14ac:dyDescent="0.25">
      <c r="A20">
        <v>19</v>
      </c>
      <c r="B20">
        <v>43.194501864211567</v>
      </c>
    </row>
    <row r="21" spans="1:2" x14ac:dyDescent="0.25">
      <c r="A21">
        <v>20</v>
      </c>
      <c r="B21">
        <v>29.122914019804188</v>
      </c>
    </row>
    <row r="22" spans="1:2" x14ac:dyDescent="0.25">
      <c r="A22">
        <v>21</v>
      </c>
      <c r="B22">
        <v>61.185289472237947</v>
      </c>
    </row>
    <row r="23" spans="1:2" x14ac:dyDescent="0.25">
      <c r="A23">
        <v>22</v>
      </c>
      <c r="B23">
        <v>13.94938606520418</v>
      </c>
    </row>
    <row r="24" spans="1:2" x14ac:dyDescent="0.25">
      <c r="A24">
        <v>23</v>
      </c>
      <c r="B24">
        <v>29.214464853521811</v>
      </c>
    </row>
    <row r="25" spans="1:2" x14ac:dyDescent="0.25">
      <c r="A25">
        <v>24</v>
      </c>
      <c r="B25">
        <v>36.636184329369172</v>
      </c>
    </row>
    <row r="26" spans="1:2" x14ac:dyDescent="0.25">
      <c r="A26">
        <v>25</v>
      </c>
      <c r="B26">
        <v>45.606998421703587</v>
      </c>
    </row>
    <row r="27" spans="1:2" x14ac:dyDescent="0.25">
      <c r="A27">
        <v>26</v>
      </c>
      <c r="B27">
        <v>78.517596139301361</v>
      </c>
    </row>
    <row r="28" spans="1:2" x14ac:dyDescent="0.25">
      <c r="A28">
        <v>27</v>
      </c>
      <c r="B28">
        <v>19.967378215835971</v>
      </c>
    </row>
    <row r="29" spans="1:2" x14ac:dyDescent="0.25">
      <c r="A29">
        <v>28</v>
      </c>
      <c r="B29">
        <v>51.423443841361163</v>
      </c>
    </row>
    <row r="30" spans="1:2" x14ac:dyDescent="0.25">
      <c r="A30">
        <v>29</v>
      </c>
      <c r="B30">
        <v>59.241456886204247</v>
      </c>
    </row>
    <row r="31" spans="1:2" x14ac:dyDescent="0.25">
      <c r="A31">
        <v>30</v>
      </c>
      <c r="B31">
        <v>4.6450412719997729</v>
      </c>
    </row>
    <row r="32" spans="1:2" x14ac:dyDescent="0.25">
      <c r="A32">
        <v>31</v>
      </c>
      <c r="B32">
        <v>60.754485190143839</v>
      </c>
    </row>
    <row r="33" spans="1:2" x14ac:dyDescent="0.25">
      <c r="A33">
        <v>32</v>
      </c>
      <c r="B33">
        <v>17.052412368729151</v>
      </c>
    </row>
    <row r="34" spans="1:2" x14ac:dyDescent="0.25">
      <c r="A34">
        <v>33</v>
      </c>
      <c r="B34">
        <v>6.5051592985279516</v>
      </c>
    </row>
    <row r="35" spans="1:2" x14ac:dyDescent="0.25">
      <c r="A35">
        <v>34</v>
      </c>
      <c r="B35">
        <v>94.888553725333324</v>
      </c>
    </row>
    <row r="36" spans="1:2" x14ac:dyDescent="0.25">
      <c r="A36">
        <v>35</v>
      </c>
      <c r="B36">
        <v>96.563203307455936</v>
      </c>
    </row>
    <row r="37" spans="1:2" x14ac:dyDescent="0.25">
      <c r="A37">
        <v>36</v>
      </c>
      <c r="B37">
        <v>80.83973481164611</v>
      </c>
    </row>
    <row r="38" spans="1:2" x14ac:dyDescent="0.25">
      <c r="A38">
        <v>37</v>
      </c>
      <c r="B38">
        <v>30.46137691733707</v>
      </c>
    </row>
    <row r="39" spans="1:2" x14ac:dyDescent="0.25">
      <c r="A39">
        <v>38</v>
      </c>
      <c r="B39">
        <v>9.7672114006383879</v>
      </c>
    </row>
    <row r="40" spans="1:2" x14ac:dyDescent="0.25">
      <c r="A40">
        <v>39</v>
      </c>
      <c r="B40">
        <v>68.423302651215693</v>
      </c>
    </row>
    <row r="41" spans="1:2" x14ac:dyDescent="0.25">
      <c r="A41">
        <v>40</v>
      </c>
      <c r="B41">
        <v>44.015249373960131</v>
      </c>
    </row>
    <row r="42" spans="1:2" x14ac:dyDescent="0.25">
      <c r="A42">
        <v>41</v>
      </c>
      <c r="B42">
        <v>12.20382348447788</v>
      </c>
    </row>
    <row r="43" spans="1:2" x14ac:dyDescent="0.25">
      <c r="A43">
        <v>42</v>
      </c>
      <c r="B43">
        <v>49.51769101112702</v>
      </c>
    </row>
    <row r="44" spans="1:2" x14ac:dyDescent="0.25">
      <c r="A44">
        <v>43</v>
      </c>
      <c r="B44">
        <v>3.43885211152184</v>
      </c>
    </row>
    <row r="45" spans="1:2" x14ac:dyDescent="0.25">
      <c r="A45">
        <v>44</v>
      </c>
      <c r="B45">
        <v>90.932040207878202</v>
      </c>
    </row>
    <row r="46" spans="1:2" x14ac:dyDescent="0.25">
      <c r="A46">
        <v>45</v>
      </c>
      <c r="B46">
        <v>25.877998160001692</v>
      </c>
    </row>
    <row r="47" spans="1:2" x14ac:dyDescent="0.25">
      <c r="A47">
        <v>46</v>
      </c>
      <c r="B47">
        <v>66.252228435398195</v>
      </c>
    </row>
    <row r="48" spans="1:2" x14ac:dyDescent="0.25">
      <c r="A48">
        <v>47</v>
      </c>
      <c r="B48">
        <v>31.171107608941099</v>
      </c>
    </row>
    <row r="49" spans="1:2" x14ac:dyDescent="0.25">
      <c r="A49">
        <v>48</v>
      </c>
      <c r="B49">
        <v>52.006802117781078</v>
      </c>
    </row>
    <row r="50" spans="1:2" x14ac:dyDescent="0.25">
      <c r="A50">
        <v>49</v>
      </c>
      <c r="B50">
        <v>54.671027934327967</v>
      </c>
    </row>
    <row r="51" spans="1:2" x14ac:dyDescent="0.25">
      <c r="A51">
        <v>50</v>
      </c>
      <c r="B51">
        <v>18.485445552552701</v>
      </c>
    </row>
    <row r="52" spans="1:2" x14ac:dyDescent="0.25">
      <c r="A52">
        <v>51</v>
      </c>
      <c r="B52">
        <v>96.95846277645586</v>
      </c>
    </row>
    <row r="53" spans="1:2" x14ac:dyDescent="0.25">
      <c r="A53">
        <v>52</v>
      </c>
      <c r="B53">
        <v>77.513282336111459</v>
      </c>
    </row>
    <row r="54" spans="1:2" x14ac:dyDescent="0.25">
      <c r="A54">
        <v>53</v>
      </c>
      <c r="B54">
        <v>93.949894156418907</v>
      </c>
    </row>
    <row r="55" spans="1:2" x14ac:dyDescent="0.25">
      <c r="A55">
        <v>54</v>
      </c>
      <c r="B55">
        <v>89.482735042764887</v>
      </c>
    </row>
    <row r="56" spans="1:2" x14ac:dyDescent="0.25">
      <c r="A56">
        <v>55</v>
      </c>
      <c r="B56">
        <v>59.789997881108512</v>
      </c>
    </row>
    <row r="57" spans="1:2" x14ac:dyDescent="0.25">
      <c r="A57">
        <v>56</v>
      </c>
      <c r="B57">
        <v>92.187423502311688</v>
      </c>
    </row>
    <row r="58" spans="1:2" x14ac:dyDescent="0.25">
      <c r="A58">
        <v>57</v>
      </c>
      <c r="B58">
        <v>8.8492502051919502</v>
      </c>
    </row>
    <row r="59" spans="1:2" x14ac:dyDescent="0.25">
      <c r="A59">
        <v>58</v>
      </c>
      <c r="B59">
        <v>19.598286241914519</v>
      </c>
    </row>
    <row r="60" spans="1:2" x14ac:dyDescent="0.25">
      <c r="A60">
        <v>59</v>
      </c>
      <c r="B60">
        <v>4.5227288910538066</v>
      </c>
    </row>
    <row r="61" spans="1:2" x14ac:dyDescent="0.25">
      <c r="A61">
        <v>60</v>
      </c>
      <c r="B61">
        <v>32.533033076326433</v>
      </c>
    </row>
    <row r="62" spans="1:2" x14ac:dyDescent="0.25">
      <c r="A62">
        <v>61</v>
      </c>
      <c r="B62">
        <v>38.8677289689482</v>
      </c>
    </row>
    <row r="63" spans="1:2" x14ac:dyDescent="0.25">
      <c r="A63">
        <v>62</v>
      </c>
      <c r="B63">
        <v>27.134903177389589</v>
      </c>
    </row>
    <row r="64" spans="1:2" x14ac:dyDescent="0.25">
      <c r="A64">
        <v>63</v>
      </c>
      <c r="B64">
        <v>82.873750915192929</v>
      </c>
    </row>
    <row r="65" spans="1:2" x14ac:dyDescent="0.25">
      <c r="A65">
        <v>64</v>
      </c>
      <c r="B65">
        <v>35.67533266935893</v>
      </c>
    </row>
    <row r="66" spans="1:2" x14ac:dyDescent="0.25">
      <c r="A66">
        <v>65</v>
      </c>
      <c r="B66">
        <v>28.093450968738079</v>
      </c>
    </row>
    <row r="67" spans="1:2" x14ac:dyDescent="0.25">
      <c r="A67">
        <v>66</v>
      </c>
      <c r="B67">
        <v>54.269608315824847</v>
      </c>
    </row>
    <row r="68" spans="1:2" x14ac:dyDescent="0.25">
      <c r="A68">
        <v>67</v>
      </c>
      <c r="B68">
        <v>14.09242249747626</v>
      </c>
    </row>
    <row r="69" spans="1:2" x14ac:dyDescent="0.25">
      <c r="A69">
        <v>68</v>
      </c>
      <c r="B69">
        <v>80.219698075403969</v>
      </c>
    </row>
    <row r="70" spans="1:2" x14ac:dyDescent="0.25">
      <c r="A70">
        <v>69</v>
      </c>
      <c r="B70">
        <v>7.4550643679770818</v>
      </c>
    </row>
    <row r="71" spans="1:2" x14ac:dyDescent="0.25">
      <c r="A71">
        <v>70</v>
      </c>
      <c r="B71">
        <v>98.688693660051726</v>
      </c>
    </row>
    <row r="72" spans="1:2" x14ac:dyDescent="0.25">
      <c r="A72">
        <v>71</v>
      </c>
      <c r="B72">
        <v>77.224476929665741</v>
      </c>
    </row>
    <row r="73" spans="1:2" x14ac:dyDescent="0.25">
      <c r="A73">
        <v>72</v>
      </c>
      <c r="B73">
        <v>19.87156815341724</v>
      </c>
    </row>
    <row r="74" spans="1:2" x14ac:dyDescent="0.25">
      <c r="A74">
        <v>73</v>
      </c>
      <c r="B74">
        <v>0.55221171236023991</v>
      </c>
    </row>
    <row r="75" spans="1:2" x14ac:dyDescent="0.25">
      <c r="A75">
        <v>74</v>
      </c>
      <c r="B75">
        <v>81.546142845483416</v>
      </c>
    </row>
    <row r="76" spans="1:2" x14ac:dyDescent="0.25">
      <c r="A76">
        <v>75</v>
      </c>
      <c r="B76">
        <v>70.685734384761716</v>
      </c>
    </row>
    <row r="77" spans="1:2" x14ac:dyDescent="0.25">
      <c r="A77">
        <v>76</v>
      </c>
      <c r="B77">
        <v>72.900716804098735</v>
      </c>
    </row>
    <row r="78" spans="1:2" x14ac:dyDescent="0.25">
      <c r="A78">
        <v>77</v>
      </c>
      <c r="B78">
        <v>77.127034668594575</v>
      </c>
    </row>
    <row r="79" spans="1:2" x14ac:dyDescent="0.25">
      <c r="A79">
        <v>78</v>
      </c>
      <c r="B79">
        <v>7.4044651734090374</v>
      </c>
    </row>
    <row r="80" spans="1:2" x14ac:dyDescent="0.25">
      <c r="A80">
        <v>79</v>
      </c>
      <c r="B80">
        <v>35.846572854427258</v>
      </c>
    </row>
    <row r="81" spans="1:2" x14ac:dyDescent="0.25">
      <c r="A81">
        <v>80</v>
      </c>
      <c r="B81">
        <v>11.58690595251297</v>
      </c>
    </row>
    <row r="82" spans="1:2" x14ac:dyDescent="0.25">
      <c r="A82">
        <v>81</v>
      </c>
      <c r="B82">
        <v>86.310342587559347</v>
      </c>
    </row>
    <row r="83" spans="1:2" x14ac:dyDescent="0.25">
      <c r="A83">
        <v>82</v>
      </c>
      <c r="B83">
        <v>62.329812682755787</v>
      </c>
    </row>
    <row r="84" spans="1:2" x14ac:dyDescent="0.25">
      <c r="A84">
        <v>83</v>
      </c>
      <c r="B84">
        <v>33.089802485264919</v>
      </c>
    </row>
    <row r="85" spans="1:2" x14ac:dyDescent="0.25">
      <c r="A85">
        <v>84</v>
      </c>
      <c r="B85">
        <v>6.3558350286023639</v>
      </c>
    </row>
    <row r="86" spans="1:2" x14ac:dyDescent="0.25">
      <c r="A86">
        <v>85</v>
      </c>
      <c r="B86">
        <v>31.09823217156622</v>
      </c>
    </row>
    <row r="87" spans="1:2" x14ac:dyDescent="0.25">
      <c r="A87">
        <v>86</v>
      </c>
      <c r="B87">
        <v>32.518332202674713</v>
      </c>
    </row>
    <row r="88" spans="1:2" x14ac:dyDescent="0.25">
      <c r="A88">
        <v>87</v>
      </c>
      <c r="B88">
        <v>72.96061783380641</v>
      </c>
    </row>
    <row r="89" spans="1:2" x14ac:dyDescent="0.25">
      <c r="A89">
        <v>88</v>
      </c>
      <c r="B89">
        <v>63.755747135521311</v>
      </c>
    </row>
    <row r="90" spans="1:2" x14ac:dyDescent="0.25">
      <c r="A90">
        <v>89</v>
      </c>
      <c r="B90">
        <v>88.721274257632658</v>
      </c>
    </row>
    <row r="91" spans="1:2" x14ac:dyDescent="0.25">
      <c r="A91">
        <v>90</v>
      </c>
      <c r="B91">
        <v>47.221492516194928</v>
      </c>
    </row>
    <row r="92" spans="1:2" x14ac:dyDescent="0.25">
      <c r="A92">
        <v>91</v>
      </c>
      <c r="B92">
        <v>11.959424593830169</v>
      </c>
    </row>
    <row r="93" spans="1:2" x14ac:dyDescent="0.25">
      <c r="A93">
        <v>92</v>
      </c>
      <c r="B93">
        <v>71.324478722299503</v>
      </c>
    </row>
    <row r="94" spans="1:2" x14ac:dyDescent="0.25">
      <c r="A94">
        <v>93</v>
      </c>
      <c r="B94">
        <v>76.078504861689737</v>
      </c>
    </row>
    <row r="95" spans="1:2" x14ac:dyDescent="0.25">
      <c r="A95">
        <v>94</v>
      </c>
      <c r="B95">
        <v>56.127719756949617</v>
      </c>
    </row>
    <row r="96" spans="1:2" x14ac:dyDescent="0.25">
      <c r="A96">
        <v>95</v>
      </c>
      <c r="B96">
        <v>77.096717995456103</v>
      </c>
    </row>
    <row r="97" spans="1:2" x14ac:dyDescent="0.25">
      <c r="A97">
        <v>96</v>
      </c>
      <c r="B97">
        <v>49.379559636439083</v>
      </c>
    </row>
    <row r="98" spans="1:2" x14ac:dyDescent="0.25">
      <c r="A98">
        <v>97</v>
      </c>
      <c r="B98">
        <v>52.273282938199408</v>
      </c>
    </row>
    <row r="99" spans="1:2" x14ac:dyDescent="0.25">
      <c r="A99">
        <v>98</v>
      </c>
      <c r="B99">
        <v>42.754101835854961</v>
      </c>
    </row>
    <row r="100" spans="1:2" x14ac:dyDescent="0.25">
      <c r="A100">
        <v>99</v>
      </c>
      <c r="B100">
        <v>2.5419126744095188</v>
      </c>
    </row>
    <row r="101" spans="1:2" x14ac:dyDescent="0.25">
      <c r="A101">
        <v>100</v>
      </c>
      <c r="B101">
        <v>10.789142699330441</v>
      </c>
    </row>
    <row r="102" spans="1:2" x14ac:dyDescent="0.25">
      <c r="A102">
        <v>101</v>
      </c>
      <c r="B102">
        <v>3.1429185686734251</v>
      </c>
    </row>
    <row r="103" spans="1:2" x14ac:dyDescent="0.25">
      <c r="A103">
        <v>102</v>
      </c>
      <c r="B103">
        <v>63.641041126378042</v>
      </c>
    </row>
    <row r="104" spans="1:2" x14ac:dyDescent="0.25">
      <c r="A104">
        <v>103</v>
      </c>
      <c r="B104">
        <v>31.435598107632671</v>
      </c>
    </row>
    <row r="105" spans="1:2" x14ac:dyDescent="0.25">
      <c r="A105">
        <v>104</v>
      </c>
      <c r="B105">
        <v>50.857069116470278</v>
      </c>
    </row>
    <row r="106" spans="1:2" x14ac:dyDescent="0.25">
      <c r="A106">
        <v>105</v>
      </c>
      <c r="B106">
        <v>90.756647392609295</v>
      </c>
    </row>
    <row r="107" spans="1:2" x14ac:dyDescent="0.25">
      <c r="A107">
        <v>106</v>
      </c>
      <c r="B107">
        <v>24.92922291488749</v>
      </c>
    </row>
    <row r="108" spans="1:2" x14ac:dyDescent="0.25">
      <c r="A108">
        <v>107</v>
      </c>
      <c r="B108">
        <v>41.038292303562983</v>
      </c>
    </row>
    <row r="109" spans="1:2" x14ac:dyDescent="0.25">
      <c r="A109">
        <v>108</v>
      </c>
      <c r="B109">
        <v>75.555113854304864</v>
      </c>
    </row>
    <row r="110" spans="1:2" x14ac:dyDescent="0.25">
      <c r="A110">
        <v>109</v>
      </c>
      <c r="B110">
        <v>22.87981654916225</v>
      </c>
    </row>
    <row r="111" spans="1:2" x14ac:dyDescent="0.25">
      <c r="A111">
        <v>110</v>
      </c>
      <c r="B111">
        <v>7.6979909828792987</v>
      </c>
    </row>
    <row r="112" spans="1:2" x14ac:dyDescent="0.25">
      <c r="A112">
        <v>111</v>
      </c>
      <c r="B112">
        <v>28.975145291376801</v>
      </c>
    </row>
    <row r="113" spans="1:2" x14ac:dyDescent="0.25">
      <c r="A113">
        <v>112</v>
      </c>
      <c r="B113">
        <v>16.12212872540044</v>
      </c>
    </row>
    <row r="114" spans="1:2" x14ac:dyDescent="0.25">
      <c r="A114">
        <v>113</v>
      </c>
      <c r="B114">
        <v>92.969765234257309</v>
      </c>
    </row>
    <row r="115" spans="1:2" x14ac:dyDescent="0.25">
      <c r="A115">
        <v>114</v>
      </c>
      <c r="B115">
        <v>80.812037956441699</v>
      </c>
    </row>
    <row r="116" spans="1:2" x14ac:dyDescent="0.25">
      <c r="A116">
        <v>115</v>
      </c>
      <c r="B116">
        <v>63.340375651042343</v>
      </c>
    </row>
    <row r="117" spans="1:2" x14ac:dyDescent="0.25">
      <c r="A117">
        <v>116</v>
      </c>
      <c r="B117">
        <v>87.146059018771766</v>
      </c>
    </row>
    <row r="118" spans="1:2" x14ac:dyDescent="0.25">
      <c r="A118">
        <v>117</v>
      </c>
      <c r="B118">
        <v>80.367207689911453</v>
      </c>
    </row>
    <row r="119" spans="1:2" x14ac:dyDescent="0.25">
      <c r="A119">
        <v>118</v>
      </c>
      <c r="B119">
        <v>18.657005888603589</v>
      </c>
    </row>
    <row r="120" spans="1:2" x14ac:dyDescent="0.25">
      <c r="A120">
        <v>119</v>
      </c>
      <c r="B120">
        <v>89.255899848997771</v>
      </c>
    </row>
    <row r="121" spans="1:2" x14ac:dyDescent="0.25">
      <c r="A121">
        <v>120</v>
      </c>
      <c r="B121">
        <v>53.934224191565072</v>
      </c>
    </row>
    <row r="122" spans="1:2" x14ac:dyDescent="0.25">
      <c r="A122">
        <v>121</v>
      </c>
      <c r="B122">
        <v>80.74401551640625</v>
      </c>
    </row>
    <row r="123" spans="1:2" x14ac:dyDescent="0.25">
      <c r="A123">
        <v>122</v>
      </c>
      <c r="B123">
        <v>89.609129992349324</v>
      </c>
    </row>
    <row r="124" spans="1:2" x14ac:dyDescent="0.25">
      <c r="A124">
        <v>123</v>
      </c>
      <c r="B124">
        <v>31.80034749718639</v>
      </c>
    </row>
    <row r="125" spans="1:2" x14ac:dyDescent="0.25">
      <c r="A125">
        <v>124</v>
      </c>
      <c r="B125">
        <v>11.00519245276768</v>
      </c>
    </row>
    <row r="126" spans="1:2" x14ac:dyDescent="0.25">
      <c r="A126">
        <v>125</v>
      </c>
      <c r="B126">
        <v>22.79351625419417</v>
      </c>
    </row>
    <row r="127" spans="1:2" x14ac:dyDescent="0.25">
      <c r="A127">
        <v>126</v>
      </c>
      <c r="B127">
        <v>42.710778862625631</v>
      </c>
    </row>
    <row r="128" spans="1:2" x14ac:dyDescent="0.25">
      <c r="A128">
        <v>127</v>
      </c>
      <c r="B128">
        <v>81.801476592249315</v>
      </c>
    </row>
    <row r="129" spans="1:2" x14ac:dyDescent="0.25">
      <c r="A129">
        <v>128</v>
      </c>
      <c r="B129">
        <v>86.073058325634349</v>
      </c>
    </row>
    <row r="130" spans="1:2" x14ac:dyDescent="0.25">
      <c r="A130">
        <v>129</v>
      </c>
      <c r="B130">
        <v>0.69521305311907033</v>
      </c>
    </row>
    <row r="131" spans="1:2" x14ac:dyDescent="0.25">
      <c r="A131">
        <v>130</v>
      </c>
      <c r="B131">
        <v>51.07473025775657</v>
      </c>
    </row>
    <row r="132" spans="1:2" x14ac:dyDescent="0.25">
      <c r="A132">
        <v>131</v>
      </c>
      <c r="B132">
        <v>41.741100314877897</v>
      </c>
    </row>
    <row r="133" spans="1:2" x14ac:dyDescent="0.25">
      <c r="A133">
        <v>132</v>
      </c>
      <c r="B133">
        <v>22.21078104707302</v>
      </c>
    </row>
    <row r="134" spans="1:2" x14ac:dyDescent="0.25">
      <c r="A134">
        <v>133</v>
      </c>
      <c r="B134">
        <v>11.986536733368281</v>
      </c>
    </row>
    <row r="135" spans="1:2" x14ac:dyDescent="0.25">
      <c r="A135">
        <v>134</v>
      </c>
      <c r="B135">
        <v>33.761517140362798</v>
      </c>
    </row>
    <row r="136" spans="1:2" x14ac:dyDescent="0.25">
      <c r="A136">
        <v>135</v>
      </c>
      <c r="B136">
        <v>94.290970391251918</v>
      </c>
    </row>
    <row r="137" spans="1:2" x14ac:dyDescent="0.25">
      <c r="A137">
        <v>136</v>
      </c>
      <c r="B137">
        <v>32.320293202075533</v>
      </c>
    </row>
    <row r="138" spans="1:2" x14ac:dyDescent="0.25">
      <c r="A138">
        <v>137</v>
      </c>
      <c r="B138">
        <v>51.87906217433661</v>
      </c>
    </row>
    <row r="139" spans="1:2" x14ac:dyDescent="0.25">
      <c r="A139">
        <v>138</v>
      </c>
      <c r="B139">
        <v>70.30189588951778</v>
      </c>
    </row>
    <row r="140" spans="1:2" x14ac:dyDescent="0.25">
      <c r="A140">
        <v>139</v>
      </c>
      <c r="B140">
        <v>36.3629602379294</v>
      </c>
    </row>
    <row r="141" spans="1:2" x14ac:dyDescent="0.25">
      <c r="A141">
        <v>140</v>
      </c>
      <c r="B141">
        <v>97.178208272096072</v>
      </c>
    </row>
    <row r="142" spans="1:2" x14ac:dyDescent="0.25">
      <c r="A142">
        <v>141</v>
      </c>
      <c r="B142">
        <v>96.244729494211128</v>
      </c>
    </row>
    <row r="143" spans="1:2" x14ac:dyDescent="0.25">
      <c r="A143">
        <v>142</v>
      </c>
      <c r="B143">
        <v>25.178229582536421</v>
      </c>
    </row>
    <row r="144" spans="1:2" x14ac:dyDescent="0.25">
      <c r="A144">
        <v>143</v>
      </c>
      <c r="B144">
        <v>49.724850589238542</v>
      </c>
    </row>
    <row r="145" spans="1:2" x14ac:dyDescent="0.25">
      <c r="A145">
        <v>144</v>
      </c>
      <c r="B145">
        <v>30.087830981676969</v>
      </c>
    </row>
    <row r="146" spans="1:2" x14ac:dyDescent="0.25">
      <c r="A146">
        <v>145</v>
      </c>
      <c r="B146">
        <v>28.484049437746759</v>
      </c>
    </row>
    <row r="147" spans="1:2" x14ac:dyDescent="0.25">
      <c r="A147">
        <v>146</v>
      </c>
      <c r="B147">
        <v>3.68869473545328</v>
      </c>
    </row>
    <row r="148" spans="1:2" x14ac:dyDescent="0.25">
      <c r="A148">
        <v>147</v>
      </c>
      <c r="B148">
        <v>60.956433397989677</v>
      </c>
    </row>
    <row r="149" spans="1:2" x14ac:dyDescent="0.25">
      <c r="A149">
        <v>148</v>
      </c>
      <c r="B149">
        <v>50.267902322886151</v>
      </c>
    </row>
    <row r="150" spans="1:2" x14ac:dyDescent="0.25">
      <c r="A150">
        <v>149</v>
      </c>
      <c r="B150">
        <v>5.1478751249989347</v>
      </c>
    </row>
    <row r="151" spans="1:2" x14ac:dyDescent="0.25">
      <c r="A151">
        <v>150</v>
      </c>
      <c r="B151">
        <v>27.864646423661139</v>
      </c>
    </row>
    <row r="152" spans="1:2" x14ac:dyDescent="0.25">
      <c r="A152">
        <v>151</v>
      </c>
      <c r="B152">
        <v>90.826588596665374</v>
      </c>
    </row>
    <row r="153" spans="1:2" x14ac:dyDescent="0.25">
      <c r="A153">
        <v>152</v>
      </c>
      <c r="B153">
        <v>23.956189066697242</v>
      </c>
    </row>
    <row r="154" spans="1:2" x14ac:dyDescent="0.25">
      <c r="A154">
        <v>153</v>
      </c>
      <c r="B154">
        <v>14.489487209122309</v>
      </c>
    </row>
    <row r="155" spans="1:2" x14ac:dyDescent="0.25">
      <c r="A155">
        <v>154</v>
      </c>
      <c r="B155">
        <v>48.9452760277563</v>
      </c>
    </row>
    <row r="156" spans="1:2" x14ac:dyDescent="0.25">
      <c r="A156">
        <v>155</v>
      </c>
      <c r="B156">
        <v>98.565045411060069</v>
      </c>
    </row>
    <row r="157" spans="1:2" x14ac:dyDescent="0.25">
      <c r="A157">
        <v>156</v>
      </c>
      <c r="B157">
        <v>24.20552715115004</v>
      </c>
    </row>
    <row r="158" spans="1:2" x14ac:dyDescent="0.25">
      <c r="A158">
        <v>157</v>
      </c>
      <c r="B158">
        <v>67.213554740587853</v>
      </c>
    </row>
    <row r="159" spans="1:2" x14ac:dyDescent="0.25">
      <c r="A159">
        <v>158</v>
      </c>
      <c r="B159">
        <v>76.161961532871757</v>
      </c>
    </row>
    <row r="160" spans="1:2" x14ac:dyDescent="0.25">
      <c r="A160">
        <v>159</v>
      </c>
      <c r="B160">
        <v>23.763754399239971</v>
      </c>
    </row>
    <row r="161" spans="1:2" x14ac:dyDescent="0.25">
      <c r="A161">
        <v>160</v>
      </c>
      <c r="B161">
        <v>72.821634861185956</v>
      </c>
    </row>
    <row r="162" spans="1:2" x14ac:dyDescent="0.25">
      <c r="A162">
        <v>161</v>
      </c>
      <c r="B162">
        <v>36.77831327192532</v>
      </c>
    </row>
    <row r="163" spans="1:2" x14ac:dyDescent="0.25">
      <c r="A163">
        <v>162</v>
      </c>
      <c r="B163">
        <v>63.230583059357947</v>
      </c>
    </row>
    <row r="164" spans="1:2" x14ac:dyDescent="0.25">
      <c r="A164">
        <v>163</v>
      </c>
      <c r="B164">
        <v>63.352971076089467</v>
      </c>
    </row>
    <row r="165" spans="1:2" x14ac:dyDescent="0.25">
      <c r="A165">
        <v>164</v>
      </c>
      <c r="B165">
        <v>53.577468407475848</v>
      </c>
    </row>
    <row r="166" spans="1:2" x14ac:dyDescent="0.25">
      <c r="A166">
        <v>165</v>
      </c>
      <c r="B166">
        <v>9.0289770054408294</v>
      </c>
    </row>
    <row r="167" spans="1:2" x14ac:dyDescent="0.25">
      <c r="A167">
        <v>166</v>
      </c>
      <c r="B167">
        <v>83.530249558923799</v>
      </c>
    </row>
    <row r="168" spans="1:2" x14ac:dyDescent="0.25">
      <c r="A168">
        <v>167</v>
      </c>
      <c r="B168">
        <v>32.078006497173583</v>
      </c>
    </row>
    <row r="169" spans="1:2" x14ac:dyDescent="0.25">
      <c r="A169">
        <v>168</v>
      </c>
      <c r="B169">
        <v>18.65185103998542</v>
      </c>
    </row>
    <row r="170" spans="1:2" x14ac:dyDescent="0.25">
      <c r="A170">
        <v>169</v>
      </c>
      <c r="B170">
        <v>4.0775141554763916</v>
      </c>
    </row>
    <row r="171" spans="1:2" x14ac:dyDescent="0.25">
      <c r="A171">
        <v>170</v>
      </c>
      <c r="B171">
        <v>59.08929431882418</v>
      </c>
    </row>
    <row r="172" spans="1:2" x14ac:dyDescent="0.25">
      <c r="A172">
        <v>171</v>
      </c>
      <c r="B172">
        <v>67.756436184228235</v>
      </c>
    </row>
    <row r="173" spans="1:2" x14ac:dyDescent="0.25">
      <c r="A173">
        <v>172</v>
      </c>
      <c r="B173">
        <v>1.658782892785615</v>
      </c>
    </row>
    <row r="174" spans="1:2" x14ac:dyDescent="0.25">
      <c r="A174">
        <v>173</v>
      </c>
      <c r="B174">
        <v>51.209305829928098</v>
      </c>
    </row>
    <row r="175" spans="1:2" x14ac:dyDescent="0.25">
      <c r="A175">
        <v>174</v>
      </c>
      <c r="B175">
        <v>22.649577519793791</v>
      </c>
    </row>
    <row r="176" spans="1:2" x14ac:dyDescent="0.25">
      <c r="A176">
        <v>175</v>
      </c>
      <c r="B176">
        <v>64.517279040944985</v>
      </c>
    </row>
    <row r="177" spans="1:2" x14ac:dyDescent="0.25">
      <c r="A177">
        <v>176</v>
      </c>
      <c r="B177">
        <v>17.436642900499141</v>
      </c>
    </row>
    <row r="178" spans="1:2" x14ac:dyDescent="0.25">
      <c r="A178">
        <v>177</v>
      </c>
      <c r="B178">
        <v>69.093773810246589</v>
      </c>
    </row>
    <row r="179" spans="1:2" x14ac:dyDescent="0.25">
      <c r="A179">
        <v>178</v>
      </c>
      <c r="B179">
        <v>38.673534630053737</v>
      </c>
    </row>
    <row r="180" spans="1:2" x14ac:dyDescent="0.25">
      <c r="A180">
        <v>179</v>
      </c>
      <c r="B180">
        <v>93.67299887367345</v>
      </c>
    </row>
    <row r="181" spans="1:2" x14ac:dyDescent="0.25">
      <c r="A181">
        <v>180</v>
      </c>
      <c r="B181">
        <v>13.75209441459933</v>
      </c>
    </row>
    <row r="182" spans="1:2" x14ac:dyDescent="0.25">
      <c r="A182">
        <v>181</v>
      </c>
      <c r="B182">
        <v>34.106635105025852</v>
      </c>
    </row>
    <row r="183" spans="1:2" x14ac:dyDescent="0.25">
      <c r="A183">
        <v>182</v>
      </c>
      <c r="B183">
        <v>11.34735212405891</v>
      </c>
    </row>
    <row r="184" spans="1:2" x14ac:dyDescent="0.25">
      <c r="A184">
        <v>183</v>
      </c>
      <c r="B184">
        <v>92.469361827856275</v>
      </c>
    </row>
    <row r="185" spans="1:2" x14ac:dyDescent="0.25">
      <c r="A185">
        <v>184</v>
      </c>
      <c r="B185">
        <v>87.733935338098107</v>
      </c>
    </row>
    <row r="186" spans="1:2" x14ac:dyDescent="0.25">
      <c r="A186">
        <v>185</v>
      </c>
      <c r="B186">
        <v>25.794162771515559</v>
      </c>
    </row>
    <row r="187" spans="1:2" x14ac:dyDescent="0.25">
      <c r="A187">
        <v>186</v>
      </c>
      <c r="B187">
        <v>65.99840460341791</v>
      </c>
    </row>
    <row r="188" spans="1:2" x14ac:dyDescent="0.25">
      <c r="A188">
        <v>187</v>
      </c>
      <c r="B188">
        <v>81.722220020121583</v>
      </c>
    </row>
    <row r="189" spans="1:2" x14ac:dyDescent="0.25">
      <c r="A189">
        <v>188</v>
      </c>
      <c r="B189">
        <v>55.52008115994623</v>
      </c>
    </row>
    <row r="190" spans="1:2" x14ac:dyDescent="0.25">
      <c r="A190">
        <v>189</v>
      </c>
      <c r="B190">
        <v>52.965057835600653</v>
      </c>
    </row>
    <row r="191" spans="1:2" x14ac:dyDescent="0.25">
      <c r="A191">
        <v>190</v>
      </c>
      <c r="B191">
        <v>24.185229090045169</v>
      </c>
    </row>
    <row r="192" spans="1:2" x14ac:dyDescent="0.25">
      <c r="A192">
        <v>191</v>
      </c>
      <c r="B192">
        <v>9.3102767805899216</v>
      </c>
    </row>
    <row r="193" spans="1:2" x14ac:dyDescent="0.25">
      <c r="A193">
        <v>192</v>
      </c>
      <c r="B193">
        <v>89.721575795332669</v>
      </c>
    </row>
    <row r="194" spans="1:2" x14ac:dyDescent="0.25">
      <c r="A194">
        <v>193</v>
      </c>
      <c r="B194">
        <v>90.041805716333045</v>
      </c>
    </row>
    <row r="195" spans="1:2" x14ac:dyDescent="0.25">
      <c r="A195">
        <v>194</v>
      </c>
      <c r="B195">
        <v>63.310145727326791</v>
      </c>
    </row>
    <row r="196" spans="1:2" x14ac:dyDescent="0.25">
      <c r="A196">
        <v>195</v>
      </c>
      <c r="B196">
        <v>33.90297910487007</v>
      </c>
    </row>
    <row r="197" spans="1:2" x14ac:dyDescent="0.25">
      <c r="A197">
        <v>196</v>
      </c>
      <c r="B197">
        <v>34.920957461266092</v>
      </c>
    </row>
    <row r="198" spans="1:2" x14ac:dyDescent="0.25">
      <c r="A198">
        <v>197</v>
      </c>
      <c r="B198">
        <v>72.595567887023932</v>
      </c>
    </row>
    <row r="199" spans="1:2" x14ac:dyDescent="0.25">
      <c r="A199">
        <v>198</v>
      </c>
      <c r="B199">
        <v>89.711025995257714</v>
      </c>
    </row>
    <row r="200" spans="1:2" x14ac:dyDescent="0.25">
      <c r="A200">
        <v>199</v>
      </c>
      <c r="B200">
        <v>88.70864242651173</v>
      </c>
    </row>
    <row r="201" spans="1:2" x14ac:dyDescent="0.25">
      <c r="A201">
        <v>200</v>
      </c>
      <c r="B201">
        <v>77.987554585762382</v>
      </c>
    </row>
    <row r="202" spans="1:2" x14ac:dyDescent="0.25">
      <c r="A202">
        <v>201</v>
      </c>
      <c r="B202">
        <v>64.203164615428776</v>
      </c>
    </row>
    <row r="203" spans="1:2" x14ac:dyDescent="0.25">
      <c r="A203">
        <v>202</v>
      </c>
      <c r="B203">
        <v>8.4139964995048828</v>
      </c>
    </row>
    <row r="204" spans="1:2" x14ac:dyDescent="0.25">
      <c r="A204">
        <v>203</v>
      </c>
      <c r="B204">
        <v>16.162871409461381</v>
      </c>
    </row>
    <row r="205" spans="1:2" x14ac:dyDescent="0.25">
      <c r="A205">
        <v>204</v>
      </c>
      <c r="B205">
        <v>89.855418852707928</v>
      </c>
    </row>
    <row r="206" spans="1:2" x14ac:dyDescent="0.25">
      <c r="A206">
        <v>205</v>
      </c>
      <c r="B206">
        <v>60.642905965959002</v>
      </c>
    </row>
    <row r="207" spans="1:2" x14ac:dyDescent="0.25">
      <c r="A207">
        <v>206</v>
      </c>
      <c r="B207">
        <v>0.91970516166296479</v>
      </c>
    </row>
    <row r="208" spans="1:2" x14ac:dyDescent="0.25">
      <c r="A208">
        <v>207</v>
      </c>
      <c r="B208">
        <v>10.147154286603209</v>
      </c>
    </row>
    <row r="209" spans="1:2" x14ac:dyDescent="0.25">
      <c r="A209">
        <v>208</v>
      </c>
      <c r="B209">
        <v>66.350176910805587</v>
      </c>
    </row>
    <row r="210" spans="1:2" x14ac:dyDescent="0.25">
      <c r="A210">
        <v>209</v>
      </c>
      <c r="B210">
        <v>0.50615838462186868</v>
      </c>
    </row>
    <row r="211" spans="1:2" x14ac:dyDescent="0.25">
      <c r="A211">
        <v>210</v>
      </c>
      <c r="B211">
        <v>16.08080514174987</v>
      </c>
    </row>
    <row r="212" spans="1:2" x14ac:dyDescent="0.25">
      <c r="A212">
        <v>211</v>
      </c>
      <c r="B212">
        <v>54.873378936658611</v>
      </c>
    </row>
    <row r="213" spans="1:2" x14ac:dyDescent="0.25">
      <c r="A213">
        <v>212</v>
      </c>
      <c r="B213">
        <v>69.189519769269324</v>
      </c>
    </row>
    <row r="214" spans="1:2" x14ac:dyDescent="0.25">
      <c r="A214">
        <v>213</v>
      </c>
      <c r="B214">
        <v>65.196125950260054</v>
      </c>
    </row>
    <row r="215" spans="1:2" x14ac:dyDescent="0.25">
      <c r="A215">
        <v>214</v>
      </c>
      <c r="B215">
        <v>22.426930946055979</v>
      </c>
    </row>
    <row r="216" spans="1:2" x14ac:dyDescent="0.25">
      <c r="A216">
        <v>215</v>
      </c>
      <c r="B216">
        <v>71.217922134753593</v>
      </c>
    </row>
    <row r="217" spans="1:2" x14ac:dyDescent="0.25">
      <c r="A217">
        <v>216</v>
      </c>
      <c r="B217">
        <v>23.724908749680012</v>
      </c>
    </row>
    <row r="218" spans="1:2" x14ac:dyDescent="0.25">
      <c r="A218">
        <v>217</v>
      </c>
      <c r="B218">
        <v>32.539969815926767</v>
      </c>
    </row>
    <row r="219" spans="1:2" x14ac:dyDescent="0.25">
      <c r="A219">
        <v>218</v>
      </c>
      <c r="B219">
        <v>74.649140511802415</v>
      </c>
    </row>
    <row r="220" spans="1:2" x14ac:dyDescent="0.25">
      <c r="A220">
        <v>219</v>
      </c>
      <c r="B220">
        <v>64.963289904721464</v>
      </c>
    </row>
    <row r="221" spans="1:2" x14ac:dyDescent="0.25">
      <c r="A221">
        <v>220</v>
      </c>
      <c r="B221">
        <v>84.922341049417795</v>
      </c>
    </row>
    <row r="222" spans="1:2" x14ac:dyDescent="0.25">
      <c r="A222">
        <v>221</v>
      </c>
      <c r="B222">
        <v>65.761289230034336</v>
      </c>
    </row>
    <row r="223" spans="1:2" x14ac:dyDescent="0.25">
      <c r="A223">
        <v>222</v>
      </c>
      <c r="B223">
        <v>56.830860333547157</v>
      </c>
    </row>
    <row r="224" spans="1:2" x14ac:dyDescent="0.25">
      <c r="A224">
        <v>223</v>
      </c>
      <c r="B224">
        <v>9.3674767828092484</v>
      </c>
    </row>
    <row r="225" spans="1:2" x14ac:dyDescent="0.25">
      <c r="A225">
        <v>224</v>
      </c>
      <c r="B225">
        <v>36.771580305943353</v>
      </c>
    </row>
    <row r="226" spans="1:2" x14ac:dyDescent="0.25">
      <c r="A226">
        <v>225</v>
      </c>
      <c r="B226">
        <v>26.520236768172541</v>
      </c>
    </row>
    <row r="227" spans="1:2" x14ac:dyDescent="0.25">
      <c r="A227">
        <v>226</v>
      </c>
      <c r="B227">
        <v>24.39896433790836</v>
      </c>
    </row>
    <row r="228" spans="1:2" x14ac:dyDescent="0.25">
      <c r="A228">
        <v>227</v>
      </c>
      <c r="B228">
        <v>97.301055475244553</v>
      </c>
    </row>
    <row r="229" spans="1:2" x14ac:dyDescent="0.25">
      <c r="A229">
        <v>228</v>
      </c>
      <c r="B229">
        <v>39.309772466676037</v>
      </c>
    </row>
    <row r="230" spans="1:2" x14ac:dyDescent="0.25">
      <c r="A230">
        <v>229</v>
      </c>
      <c r="B230">
        <v>89.204655517711331</v>
      </c>
    </row>
    <row r="231" spans="1:2" x14ac:dyDescent="0.25">
      <c r="A231">
        <v>230</v>
      </c>
      <c r="B231">
        <v>63.113862599726289</v>
      </c>
    </row>
    <row r="232" spans="1:2" x14ac:dyDescent="0.25">
      <c r="A232">
        <v>231</v>
      </c>
      <c r="B232">
        <v>79.481130354164847</v>
      </c>
    </row>
    <row r="233" spans="1:2" x14ac:dyDescent="0.25">
      <c r="A233">
        <v>232</v>
      </c>
      <c r="B233">
        <v>50.263709310519211</v>
      </c>
    </row>
    <row r="234" spans="1:2" x14ac:dyDescent="0.25">
      <c r="A234">
        <v>233</v>
      </c>
      <c r="B234">
        <v>57.690388462635909</v>
      </c>
    </row>
    <row r="235" spans="1:2" x14ac:dyDescent="0.25">
      <c r="A235">
        <v>234</v>
      </c>
      <c r="B235">
        <v>49.25176938188639</v>
      </c>
    </row>
    <row r="236" spans="1:2" x14ac:dyDescent="0.25">
      <c r="A236">
        <v>235</v>
      </c>
      <c r="B236">
        <v>19.52429877980445</v>
      </c>
    </row>
    <row r="237" spans="1:2" x14ac:dyDescent="0.25">
      <c r="A237">
        <v>236</v>
      </c>
      <c r="B237">
        <v>72.245211526150527</v>
      </c>
    </row>
    <row r="238" spans="1:2" x14ac:dyDescent="0.25">
      <c r="A238">
        <v>237</v>
      </c>
      <c r="B238">
        <v>28.077236244085579</v>
      </c>
    </row>
    <row r="239" spans="1:2" x14ac:dyDescent="0.25">
      <c r="A239">
        <v>238</v>
      </c>
      <c r="B239">
        <v>2.4315966431453839</v>
      </c>
    </row>
    <row r="240" spans="1:2" x14ac:dyDescent="0.25">
      <c r="A240">
        <v>239</v>
      </c>
      <c r="B240">
        <v>64.547229590716782</v>
      </c>
    </row>
    <row r="241" spans="1:2" x14ac:dyDescent="0.25">
      <c r="A241">
        <v>240</v>
      </c>
      <c r="B241">
        <v>17.71106794070489</v>
      </c>
    </row>
    <row r="242" spans="1:2" x14ac:dyDescent="0.25">
      <c r="A242">
        <v>241</v>
      </c>
      <c r="B242">
        <v>94.045858435291436</v>
      </c>
    </row>
    <row r="243" spans="1:2" x14ac:dyDescent="0.25">
      <c r="A243">
        <v>242</v>
      </c>
      <c r="B243">
        <v>95.39285770025873</v>
      </c>
    </row>
    <row r="244" spans="1:2" x14ac:dyDescent="0.25">
      <c r="A244">
        <v>243</v>
      </c>
      <c r="B244">
        <v>91.486439022044848</v>
      </c>
    </row>
    <row r="245" spans="1:2" x14ac:dyDescent="0.25">
      <c r="A245">
        <v>244</v>
      </c>
      <c r="B245">
        <v>37.015870025544437</v>
      </c>
    </row>
    <row r="246" spans="1:2" x14ac:dyDescent="0.25">
      <c r="A246">
        <v>245</v>
      </c>
      <c r="B246">
        <v>1.54566165288674</v>
      </c>
    </row>
    <row r="247" spans="1:2" x14ac:dyDescent="0.25">
      <c r="A247">
        <v>246</v>
      </c>
      <c r="B247">
        <v>92.831856258772532</v>
      </c>
    </row>
    <row r="248" spans="1:2" x14ac:dyDescent="0.25">
      <c r="A248">
        <v>247</v>
      </c>
      <c r="B248">
        <v>42.818414831731431</v>
      </c>
    </row>
    <row r="249" spans="1:2" x14ac:dyDescent="0.25">
      <c r="A249">
        <v>248</v>
      </c>
      <c r="B249">
        <v>96.665481904366956</v>
      </c>
    </row>
    <row r="250" spans="1:2" x14ac:dyDescent="0.25">
      <c r="A250">
        <v>249</v>
      </c>
      <c r="B250">
        <v>96.361997708925287</v>
      </c>
    </row>
    <row r="251" spans="1:2" x14ac:dyDescent="0.25">
      <c r="A251">
        <v>250</v>
      </c>
      <c r="B251">
        <v>85.300945546736003</v>
      </c>
    </row>
    <row r="252" spans="1:2" x14ac:dyDescent="0.25">
      <c r="A252">
        <v>251</v>
      </c>
      <c r="B252">
        <v>29.444889206958571</v>
      </c>
    </row>
    <row r="253" spans="1:2" x14ac:dyDescent="0.25">
      <c r="A253">
        <v>252</v>
      </c>
      <c r="B253">
        <v>38.509772860192527</v>
      </c>
    </row>
    <row r="254" spans="1:2" x14ac:dyDescent="0.25">
      <c r="A254">
        <v>253</v>
      </c>
      <c r="B254">
        <v>85.113667151685689</v>
      </c>
    </row>
    <row r="255" spans="1:2" x14ac:dyDescent="0.25">
      <c r="A255">
        <v>254</v>
      </c>
      <c r="B255">
        <v>31.692200515627771</v>
      </c>
    </row>
    <row r="256" spans="1:2" x14ac:dyDescent="0.25">
      <c r="A256">
        <v>255</v>
      </c>
      <c r="B256">
        <v>16.949274668609249</v>
      </c>
    </row>
    <row r="257" spans="1:2" x14ac:dyDescent="0.25">
      <c r="A257">
        <v>256</v>
      </c>
      <c r="B257">
        <v>55.680126245835012</v>
      </c>
    </row>
    <row r="258" spans="1:2" x14ac:dyDescent="0.25">
      <c r="A258">
        <v>257</v>
      </c>
      <c r="B258">
        <v>93.615477416078093</v>
      </c>
    </row>
    <row r="259" spans="1:2" x14ac:dyDescent="0.25">
      <c r="A259">
        <v>258</v>
      </c>
      <c r="B259">
        <v>69.602979667497294</v>
      </c>
    </row>
    <row r="260" spans="1:2" x14ac:dyDescent="0.25">
      <c r="A260">
        <v>259</v>
      </c>
      <c r="B260">
        <v>57.006117008936499</v>
      </c>
    </row>
    <row r="261" spans="1:2" x14ac:dyDescent="0.25">
      <c r="A261">
        <v>260</v>
      </c>
      <c r="B261">
        <v>9.7176493770768531</v>
      </c>
    </row>
    <row r="262" spans="1:2" x14ac:dyDescent="0.25">
      <c r="A262">
        <v>261</v>
      </c>
      <c r="B262">
        <v>61.500722669916968</v>
      </c>
    </row>
    <row r="263" spans="1:2" x14ac:dyDescent="0.25">
      <c r="A263">
        <v>262</v>
      </c>
      <c r="B263">
        <v>99.005385010426323</v>
      </c>
    </row>
    <row r="264" spans="1:2" x14ac:dyDescent="0.25">
      <c r="A264">
        <v>263</v>
      </c>
      <c r="B264">
        <v>14.008401523652401</v>
      </c>
    </row>
    <row r="265" spans="1:2" x14ac:dyDescent="0.25">
      <c r="A265">
        <v>264</v>
      </c>
      <c r="B265">
        <v>51.832965236373667</v>
      </c>
    </row>
    <row r="266" spans="1:2" x14ac:dyDescent="0.25">
      <c r="A266">
        <v>265</v>
      </c>
      <c r="B266">
        <v>87.737307192795541</v>
      </c>
    </row>
    <row r="267" spans="1:2" x14ac:dyDescent="0.25">
      <c r="A267">
        <v>266</v>
      </c>
      <c r="B267">
        <v>74.07686177542044</v>
      </c>
    </row>
    <row r="268" spans="1:2" x14ac:dyDescent="0.25">
      <c r="A268">
        <v>267</v>
      </c>
      <c r="B268">
        <v>69.701574099526795</v>
      </c>
    </row>
    <row r="269" spans="1:2" x14ac:dyDescent="0.25">
      <c r="A269">
        <v>268</v>
      </c>
      <c r="B269">
        <v>70.248408398710922</v>
      </c>
    </row>
    <row r="270" spans="1:2" x14ac:dyDescent="0.25">
      <c r="A270">
        <v>269</v>
      </c>
      <c r="B270">
        <v>35.949115121975517</v>
      </c>
    </row>
    <row r="271" spans="1:2" x14ac:dyDescent="0.25">
      <c r="A271">
        <v>270</v>
      </c>
      <c r="B271">
        <v>29.359184426449339</v>
      </c>
    </row>
    <row r="272" spans="1:2" x14ac:dyDescent="0.25">
      <c r="A272">
        <v>271</v>
      </c>
      <c r="B272">
        <v>80.936115547851358</v>
      </c>
    </row>
    <row r="273" spans="1:2" x14ac:dyDescent="0.25">
      <c r="A273">
        <v>272</v>
      </c>
      <c r="B273">
        <v>81.011339467918077</v>
      </c>
    </row>
    <row r="274" spans="1:2" x14ac:dyDescent="0.25">
      <c r="A274">
        <v>273</v>
      </c>
      <c r="B274">
        <v>86.707231858010374</v>
      </c>
    </row>
    <row r="275" spans="1:2" x14ac:dyDescent="0.25">
      <c r="A275">
        <v>274</v>
      </c>
      <c r="B275">
        <v>91.324055255647124</v>
      </c>
    </row>
    <row r="276" spans="1:2" x14ac:dyDescent="0.25">
      <c r="A276">
        <v>275</v>
      </c>
      <c r="B276">
        <v>51.134239886093781</v>
      </c>
    </row>
    <row r="277" spans="1:2" x14ac:dyDescent="0.25">
      <c r="A277">
        <v>276</v>
      </c>
      <c r="B277">
        <v>50.15162946871996</v>
      </c>
    </row>
    <row r="278" spans="1:2" x14ac:dyDescent="0.25">
      <c r="A278">
        <v>277</v>
      </c>
      <c r="B278">
        <v>79.829517896677515</v>
      </c>
    </row>
    <row r="279" spans="1:2" x14ac:dyDescent="0.25">
      <c r="A279">
        <v>278</v>
      </c>
      <c r="B279">
        <v>64.996393077776517</v>
      </c>
    </row>
    <row r="280" spans="1:2" x14ac:dyDescent="0.25">
      <c r="A280">
        <v>279</v>
      </c>
      <c r="B280">
        <v>70.196687725770332</v>
      </c>
    </row>
    <row r="281" spans="1:2" x14ac:dyDescent="0.25">
      <c r="A281">
        <v>280</v>
      </c>
      <c r="B281">
        <v>79.579266943610108</v>
      </c>
    </row>
    <row r="282" spans="1:2" x14ac:dyDescent="0.25">
      <c r="A282">
        <v>281</v>
      </c>
      <c r="B282">
        <v>89.000534181756635</v>
      </c>
    </row>
    <row r="283" spans="1:2" x14ac:dyDescent="0.25">
      <c r="A283">
        <v>282</v>
      </c>
      <c r="B283">
        <v>33.79951568515358</v>
      </c>
    </row>
    <row r="284" spans="1:2" x14ac:dyDescent="0.25">
      <c r="A284">
        <v>283</v>
      </c>
      <c r="B284">
        <v>37.558295263994403</v>
      </c>
    </row>
    <row r="285" spans="1:2" x14ac:dyDescent="0.25">
      <c r="A285">
        <v>284</v>
      </c>
      <c r="B285">
        <v>9.3981939840869</v>
      </c>
    </row>
    <row r="286" spans="1:2" x14ac:dyDescent="0.25">
      <c r="A286">
        <v>285</v>
      </c>
      <c r="B286">
        <v>57.828014099617398</v>
      </c>
    </row>
    <row r="287" spans="1:2" x14ac:dyDescent="0.25">
      <c r="A287">
        <v>286</v>
      </c>
      <c r="B287">
        <v>3.594227379674209</v>
      </c>
    </row>
    <row r="288" spans="1:2" x14ac:dyDescent="0.25">
      <c r="A288">
        <v>287</v>
      </c>
      <c r="B288">
        <v>46.559801813246018</v>
      </c>
    </row>
    <row r="289" spans="1:2" x14ac:dyDescent="0.25">
      <c r="A289">
        <v>288</v>
      </c>
      <c r="B289">
        <v>54.264463470757661</v>
      </c>
    </row>
    <row r="290" spans="1:2" x14ac:dyDescent="0.25">
      <c r="A290">
        <v>289</v>
      </c>
      <c r="B290">
        <v>28.65412521282844</v>
      </c>
    </row>
    <row r="291" spans="1:2" x14ac:dyDescent="0.25">
      <c r="A291">
        <v>290</v>
      </c>
      <c r="B291">
        <v>59.083326056901072</v>
      </c>
    </row>
    <row r="292" spans="1:2" x14ac:dyDescent="0.25">
      <c r="A292">
        <v>291</v>
      </c>
      <c r="B292">
        <v>3.0500249939049429</v>
      </c>
    </row>
    <row r="293" spans="1:2" x14ac:dyDescent="0.25">
      <c r="A293">
        <v>292</v>
      </c>
      <c r="B293">
        <v>3.7348188749214422</v>
      </c>
    </row>
    <row r="294" spans="1:2" x14ac:dyDescent="0.25">
      <c r="A294">
        <v>293</v>
      </c>
      <c r="B294">
        <v>82.260056065965827</v>
      </c>
    </row>
    <row r="295" spans="1:2" x14ac:dyDescent="0.25">
      <c r="A295">
        <v>294</v>
      </c>
      <c r="B295">
        <v>36.019064141126293</v>
      </c>
    </row>
    <row r="296" spans="1:2" x14ac:dyDescent="0.25">
      <c r="A296">
        <v>295</v>
      </c>
      <c r="B296">
        <v>12.70605126518848</v>
      </c>
    </row>
    <row r="297" spans="1:2" x14ac:dyDescent="0.25">
      <c r="A297">
        <v>296</v>
      </c>
      <c r="B297">
        <v>52.224326005480442</v>
      </c>
    </row>
    <row r="298" spans="1:2" x14ac:dyDescent="0.25">
      <c r="A298">
        <v>297</v>
      </c>
      <c r="B298">
        <v>76.999355309861087</v>
      </c>
    </row>
    <row r="299" spans="1:2" x14ac:dyDescent="0.25">
      <c r="A299">
        <v>298</v>
      </c>
      <c r="B299">
        <v>21.582102749684321</v>
      </c>
    </row>
    <row r="300" spans="1:2" x14ac:dyDescent="0.25">
      <c r="A300">
        <v>299</v>
      </c>
      <c r="B300">
        <v>62.289047581900029</v>
      </c>
    </row>
    <row r="301" spans="1:2" x14ac:dyDescent="0.25">
      <c r="A301">
        <v>300</v>
      </c>
      <c r="B301">
        <v>8.5347464993767996</v>
      </c>
    </row>
    <row r="302" spans="1:2" x14ac:dyDescent="0.25">
      <c r="A302">
        <v>301</v>
      </c>
      <c r="B302">
        <v>5.1681721168607702</v>
      </c>
    </row>
    <row r="303" spans="1:2" x14ac:dyDescent="0.25">
      <c r="A303">
        <v>302</v>
      </c>
      <c r="B303">
        <v>53.135463156814801</v>
      </c>
    </row>
    <row r="304" spans="1:2" x14ac:dyDescent="0.25">
      <c r="A304">
        <v>303</v>
      </c>
      <c r="B304">
        <v>54.063512161010649</v>
      </c>
    </row>
    <row r="305" spans="1:2" x14ac:dyDescent="0.25">
      <c r="A305">
        <v>304</v>
      </c>
      <c r="B305">
        <v>63.742990149820663</v>
      </c>
    </row>
    <row r="306" spans="1:2" x14ac:dyDescent="0.25">
      <c r="A306">
        <v>305</v>
      </c>
      <c r="B306">
        <v>72.609133372266157</v>
      </c>
    </row>
    <row r="307" spans="1:2" x14ac:dyDescent="0.25">
      <c r="A307">
        <v>306</v>
      </c>
      <c r="B307">
        <v>97.585207946253462</v>
      </c>
    </row>
    <row r="308" spans="1:2" x14ac:dyDescent="0.25">
      <c r="A308">
        <v>307</v>
      </c>
      <c r="B308">
        <v>51.630034830119527</v>
      </c>
    </row>
    <row r="309" spans="1:2" x14ac:dyDescent="0.25">
      <c r="A309">
        <v>308</v>
      </c>
      <c r="B309">
        <v>32.295647294124599</v>
      </c>
    </row>
    <row r="310" spans="1:2" x14ac:dyDescent="0.25">
      <c r="A310">
        <v>309</v>
      </c>
      <c r="B310">
        <v>79.51861947687037</v>
      </c>
    </row>
    <row r="311" spans="1:2" x14ac:dyDescent="0.25">
      <c r="A311">
        <v>310</v>
      </c>
      <c r="B311">
        <v>27.08322512620742</v>
      </c>
    </row>
    <row r="312" spans="1:2" x14ac:dyDescent="0.25">
      <c r="A312">
        <v>311</v>
      </c>
      <c r="B312">
        <v>43.897142070563611</v>
      </c>
    </row>
    <row r="313" spans="1:2" x14ac:dyDescent="0.25">
      <c r="A313">
        <v>312</v>
      </c>
      <c r="B313">
        <v>7.8456381342265953</v>
      </c>
    </row>
    <row r="314" spans="1:2" x14ac:dyDescent="0.25">
      <c r="A314">
        <v>313</v>
      </c>
      <c r="B314">
        <v>2.5350743415457511</v>
      </c>
    </row>
    <row r="315" spans="1:2" x14ac:dyDescent="0.25">
      <c r="A315">
        <v>314</v>
      </c>
      <c r="B315">
        <v>96.264841467792508</v>
      </c>
    </row>
    <row r="316" spans="1:2" x14ac:dyDescent="0.25">
      <c r="A316">
        <v>315</v>
      </c>
      <c r="B316">
        <v>83.598012051220579</v>
      </c>
    </row>
    <row r="317" spans="1:2" x14ac:dyDescent="0.25">
      <c r="A317">
        <v>316</v>
      </c>
      <c r="B317">
        <v>69.597420609369792</v>
      </c>
    </row>
    <row r="318" spans="1:2" x14ac:dyDescent="0.25">
      <c r="A318">
        <v>317</v>
      </c>
      <c r="B318">
        <v>40.895294441426991</v>
      </c>
    </row>
    <row r="319" spans="1:2" x14ac:dyDescent="0.25">
      <c r="A319">
        <v>318</v>
      </c>
      <c r="B319">
        <v>17.329432007084581</v>
      </c>
    </row>
    <row r="320" spans="1:2" x14ac:dyDescent="0.25">
      <c r="A320">
        <v>319</v>
      </c>
      <c r="B320">
        <v>15.64370426710861</v>
      </c>
    </row>
    <row r="321" spans="1:2" x14ac:dyDescent="0.25">
      <c r="A321">
        <v>320</v>
      </c>
      <c r="B321">
        <v>25.024289816459529</v>
      </c>
    </row>
    <row r="322" spans="1:2" x14ac:dyDescent="0.25">
      <c r="A322">
        <v>321</v>
      </c>
      <c r="B322">
        <v>54.92266647061205</v>
      </c>
    </row>
    <row r="323" spans="1:2" x14ac:dyDescent="0.25">
      <c r="A323">
        <v>322</v>
      </c>
      <c r="B323">
        <v>71.45959227000624</v>
      </c>
    </row>
    <row r="324" spans="1:2" x14ac:dyDescent="0.25">
      <c r="A324">
        <v>323</v>
      </c>
      <c r="B324">
        <v>66.019737671773129</v>
      </c>
    </row>
    <row r="325" spans="1:2" x14ac:dyDescent="0.25">
      <c r="A325">
        <v>324</v>
      </c>
      <c r="B325">
        <v>27.993389694594281</v>
      </c>
    </row>
    <row r="326" spans="1:2" x14ac:dyDescent="0.25">
      <c r="A326">
        <v>325</v>
      </c>
      <c r="B326">
        <v>95.486528066319408</v>
      </c>
    </row>
    <row r="327" spans="1:2" x14ac:dyDescent="0.25">
      <c r="A327">
        <v>326</v>
      </c>
      <c r="B327">
        <v>73.789691669576854</v>
      </c>
    </row>
    <row r="328" spans="1:2" x14ac:dyDescent="0.25">
      <c r="A328">
        <v>327</v>
      </c>
      <c r="B328">
        <v>55.435405251140068</v>
      </c>
    </row>
    <row r="329" spans="1:2" x14ac:dyDescent="0.25">
      <c r="A329">
        <v>328</v>
      </c>
      <c r="B329">
        <v>61.172074623435222</v>
      </c>
    </row>
    <row r="330" spans="1:2" x14ac:dyDescent="0.25">
      <c r="A330">
        <v>329</v>
      </c>
      <c r="B330">
        <v>41.960006242778988</v>
      </c>
    </row>
    <row r="331" spans="1:2" x14ac:dyDescent="0.25">
      <c r="A331">
        <v>330</v>
      </c>
      <c r="B331">
        <v>24.773098950115749</v>
      </c>
    </row>
    <row r="332" spans="1:2" x14ac:dyDescent="0.25">
      <c r="A332">
        <v>331</v>
      </c>
      <c r="B332">
        <v>35.597267865126163</v>
      </c>
    </row>
    <row r="333" spans="1:2" x14ac:dyDescent="0.25">
      <c r="A333">
        <v>332</v>
      </c>
      <c r="B333">
        <v>75.784611046436908</v>
      </c>
    </row>
    <row r="334" spans="1:2" x14ac:dyDescent="0.25">
      <c r="A334">
        <v>333</v>
      </c>
      <c r="B334">
        <v>1.4393488629755871</v>
      </c>
    </row>
    <row r="335" spans="1:2" x14ac:dyDescent="0.25">
      <c r="A335">
        <v>334</v>
      </c>
      <c r="B335">
        <v>11.60726405069162</v>
      </c>
    </row>
    <row r="336" spans="1:2" x14ac:dyDescent="0.25">
      <c r="A336">
        <v>335</v>
      </c>
      <c r="B336">
        <v>4.6002642021752749</v>
      </c>
    </row>
    <row r="337" spans="1:2" x14ac:dyDescent="0.25">
      <c r="A337">
        <v>336</v>
      </c>
      <c r="B337">
        <v>4.0728802318970132</v>
      </c>
    </row>
    <row r="338" spans="1:2" x14ac:dyDescent="0.25">
      <c r="A338">
        <v>337</v>
      </c>
      <c r="B338">
        <v>85.546058401100723</v>
      </c>
    </row>
    <row r="339" spans="1:2" x14ac:dyDescent="0.25">
      <c r="A339">
        <v>338</v>
      </c>
      <c r="B339">
        <v>70.365785938002361</v>
      </c>
    </row>
    <row r="340" spans="1:2" x14ac:dyDescent="0.25">
      <c r="A340">
        <v>339</v>
      </c>
      <c r="B340">
        <v>47.41738290873252</v>
      </c>
    </row>
    <row r="341" spans="1:2" x14ac:dyDescent="0.25">
      <c r="A341">
        <v>340</v>
      </c>
      <c r="B341">
        <v>9.7834160651001483</v>
      </c>
    </row>
    <row r="342" spans="1:2" x14ac:dyDescent="0.25">
      <c r="A342">
        <v>341</v>
      </c>
      <c r="B342">
        <v>49.161587511683237</v>
      </c>
    </row>
    <row r="343" spans="1:2" x14ac:dyDescent="0.25">
      <c r="A343">
        <v>342</v>
      </c>
      <c r="B343">
        <v>47.347177078056568</v>
      </c>
    </row>
    <row r="344" spans="1:2" x14ac:dyDescent="0.25">
      <c r="A344">
        <v>343</v>
      </c>
      <c r="B344">
        <v>17.32018699100152</v>
      </c>
    </row>
    <row r="345" spans="1:2" x14ac:dyDescent="0.25">
      <c r="A345">
        <v>344</v>
      </c>
      <c r="B345">
        <v>43.385164923797298</v>
      </c>
    </row>
    <row r="346" spans="1:2" x14ac:dyDescent="0.25">
      <c r="A346">
        <v>345</v>
      </c>
      <c r="B346">
        <v>39.850473439737343</v>
      </c>
    </row>
    <row r="347" spans="1:2" x14ac:dyDescent="0.25">
      <c r="A347">
        <v>346</v>
      </c>
      <c r="B347">
        <v>61.585009805221652</v>
      </c>
    </row>
    <row r="348" spans="1:2" x14ac:dyDescent="0.25">
      <c r="A348">
        <v>347</v>
      </c>
      <c r="B348">
        <v>63.509365086764383</v>
      </c>
    </row>
    <row r="349" spans="1:2" x14ac:dyDescent="0.25">
      <c r="A349">
        <v>348</v>
      </c>
      <c r="B349">
        <v>4.5304009772044518</v>
      </c>
    </row>
    <row r="350" spans="1:2" x14ac:dyDescent="0.25">
      <c r="A350">
        <v>349</v>
      </c>
      <c r="B350">
        <v>37.461261462647123</v>
      </c>
    </row>
    <row r="351" spans="1:2" x14ac:dyDescent="0.25">
      <c r="A351">
        <v>350</v>
      </c>
      <c r="B351">
        <v>62.585991571423641</v>
      </c>
    </row>
    <row r="352" spans="1:2" x14ac:dyDescent="0.25">
      <c r="A352">
        <v>351</v>
      </c>
      <c r="B352">
        <v>50.31362585800877</v>
      </c>
    </row>
    <row r="353" spans="1:2" x14ac:dyDescent="0.25">
      <c r="A353">
        <v>352</v>
      </c>
      <c r="B353">
        <v>85.648984118832232</v>
      </c>
    </row>
    <row r="354" spans="1:2" x14ac:dyDescent="0.25">
      <c r="A354">
        <v>353</v>
      </c>
      <c r="B354">
        <v>65.869363161894498</v>
      </c>
    </row>
    <row r="355" spans="1:2" x14ac:dyDescent="0.25">
      <c r="A355">
        <v>354</v>
      </c>
      <c r="B355">
        <v>16.293442708142969</v>
      </c>
    </row>
    <row r="356" spans="1:2" x14ac:dyDescent="0.25">
      <c r="A356">
        <v>355</v>
      </c>
      <c r="B356">
        <v>7.0568747400429839</v>
      </c>
    </row>
    <row r="357" spans="1:2" x14ac:dyDescent="0.25">
      <c r="A357">
        <v>356</v>
      </c>
      <c r="B357">
        <v>64.24192782063156</v>
      </c>
    </row>
    <row r="358" spans="1:2" x14ac:dyDescent="0.25">
      <c r="A358">
        <v>357</v>
      </c>
      <c r="B358">
        <v>2.6511310541621809</v>
      </c>
    </row>
    <row r="359" spans="1:2" x14ac:dyDescent="0.25">
      <c r="A359">
        <v>358</v>
      </c>
      <c r="B359">
        <v>58.577558127346329</v>
      </c>
    </row>
    <row r="360" spans="1:2" x14ac:dyDescent="0.25">
      <c r="A360">
        <v>359</v>
      </c>
      <c r="B360">
        <v>94.023024142495757</v>
      </c>
    </row>
    <row r="361" spans="1:2" x14ac:dyDescent="0.25">
      <c r="A361">
        <v>360</v>
      </c>
      <c r="B361">
        <v>57.547417787587896</v>
      </c>
    </row>
    <row r="362" spans="1:2" x14ac:dyDescent="0.25">
      <c r="A362">
        <v>361</v>
      </c>
      <c r="B362">
        <v>38.816992620652186</v>
      </c>
    </row>
    <row r="363" spans="1:2" x14ac:dyDescent="0.25">
      <c r="A363">
        <v>362</v>
      </c>
      <c r="B363">
        <v>64.328821844235321</v>
      </c>
    </row>
    <row r="364" spans="1:2" x14ac:dyDescent="0.25">
      <c r="A364">
        <v>363</v>
      </c>
      <c r="B364">
        <v>45.825289049151657</v>
      </c>
    </row>
    <row r="365" spans="1:2" x14ac:dyDescent="0.25">
      <c r="A365">
        <v>364</v>
      </c>
      <c r="B365">
        <v>54.561678931593491</v>
      </c>
    </row>
    <row r="366" spans="1:2" x14ac:dyDescent="0.25">
      <c r="A366">
        <v>365</v>
      </c>
      <c r="B366">
        <v>94.146480877652522</v>
      </c>
    </row>
    <row r="367" spans="1:2" x14ac:dyDescent="0.25">
      <c r="A367">
        <v>366</v>
      </c>
      <c r="B367">
        <v>38.610263780077418</v>
      </c>
    </row>
    <row r="368" spans="1:2" x14ac:dyDescent="0.25">
      <c r="A368">
        <v>367</v>
      </c>
      <c r="B368">
        <v>96.11905638239142</v>
      </c>
    </row>
    <row r="369" spans="1:2" x14ac:dyDescent="0.25">
      <c r="A369">
        <v>368</v>
      </c>
      <c r="B369">
        <v>90.535064195606367</v>
      </c>
    </row>
    <row r="370" spans="1:2" x14ac:dyDescent="0.25">
      <c r="A370">
        <v>369</v>
      </c>
      <c r="B370">
        <v>19.579113478929639</v>
      </c>
    </row>
    <row r="371" spans="1:2" x14ac:dyDescent="0.25">
      <c r="A371">
        <v>370</v>
      </c>
      <c r="B371">
        <v>6.9361300875165446</v>
      </c>
    </row>
    <row r="372" spans="1:2" x14ac:dyDescent="0.25">
      <c r="A372">
        <v>371</v>
      </c>
      <c r="B372">
        <v>10.07780013774267</v>
      </c>
    </row>
    <row r="373" spans="1:2" x14ac:dyDescent="0.25">
      <c r="A373">
        <v>372</v>
      </c>
      <c r="B373">
        <v>1.822182565154973</v>
      </c>
    </row>
    <row r="374" spans="1:2" x14ac:dyDescent="0.25">
      <c r="A374">
        <v>373</v>
      </c>
      <c r="B374">
        <v>9.44429607559284</v>
      </c>
    </row>
    <row r="375" spans="1:2" x14ac:dyDescent="0.25">
      <c r="A375">
        <v>374</v>
      </c>
      <c r="B375">
        <v>68.300677341635691</v>
      </c>
    </row>
    <row r="376" spans="1:2" x14ac:dyDescent="0.25">
      <c r="A376">
        <v>375</v>
      </c>
      <c r="B376">
        <v>7.1188648460228983</v>
      </c>
    </row>
    <row r="377" spans="1:2" x14ac:dyDescent="0.25">
      <c r="A377">
        <v>376</v>
      </c>
      <c r="B377">
        <v>31.89756302937613</v>
      </c>
    </row>
    <row r="378" spans="1:2" x14ac:dyDescent="0.25">
      <c r="A378">
        <v>377</v>
      </c>
      <c r="B378">
        <v>84.48753109694546</v>
      </c>
    </row>
    <row r="379" spans="1:2" x14ac:dyDescent="0.25">
      <c r="A379">
        <v>378</v>
      </c>
      <c r="B379">
        <v>2.327193573582587</v>
      </c>
    </row>
    <row r="380" spans="1:2" x14ac:dyDescent="0.25">
      <c r="A380">
        <v>379</v>
      </c>
      <c r="B380">
        <v>81.446848258893581</v>
      </c>
    </row>
    <row r="381" spans="1:2" x14ac:dyDescent="0.25">
      <c r="A381">
        <v>380</v>
      </c>
      <c r="B381">
        <v>28.18547747733999</v>
      </c>
    </row>
    <row r="382" spans="1:2" x14ac:dyDescent="0.25">
      <c r="A382">
        <v>381</v>
      </c>
      <c r="B382">
        <v>11.816482762165631</v>
      </c>
    </row>
    <row r="383" spans="1:2" x14ac:dyDescent="0.25">
      <c r="A383">
        <v>382</v>
      </c>
      <c r="B383">
        <v>69.673716536415071</v>
      </c>
    </row>
    <row r="384" spans="1:2" x14ac:dyDescent="0.25">
      <c r="A384">
        <v>383</v>
      </c>
      <c r="B384">
        <v>62.894284677988402</v>
      </c>
    </row>
    <row r="385" spans="1:2" x14ac:dyDescent="0.25">
      <c r="A385">
        <v>384</v>
      </c>
      <c r="B385">
        <v>87.747201352705289</v>
      </c>
    </row>
    <row r="386" spans="1:2" x14ac:dyDescent="0.25">
      <c r="A386">
        <v>385</v>
      </c>
      <c r="B386">
        <v>73.507104380388583</v>
      </c>
    </row>
    <row r="387" spans="1:2" x14ac:dyDescent="0.25">
      <c r="A387">
        <v>386</v>
      </c>
      <c r="B387">
        <v>80.348093038484862</v>
      </c>
    </row>
    <row r="388" spans="1:2" x14ac:dyDescent="0.25">
      <c r="A388">
        <v>387</v>
      </c>
      <c r="B388">
        <v>28.203457257130651</v>
      </c>
    </row>
    <row r="389" spans="1:2" x14ac:dyDescent="0.25">
      <c r="A389">
        <v>388</v>
      </c>
      <c r="B389">
        <v>17.74395437797228</v>
      </c>
    </row>
    <row r="390" spans="1:2" x14ac:dyDescent="0.25">
      <c r="A390">
        <v>389</v>
      </c>
      <c r="B390">
        <v>75.061475164085834</v>
      </c>
    </row>
    <row r="391" spans="1:2" x14ac:dyDescent="0.25">
      <c r="A391">
        <v>390</v>
      </c>
      <c r="B391">
        <v>80.683473926726407</v>
      </c>
    </row>
    <row r="392" spans="1:2" x14ac:dyDescent="0.25">
      <c r="A392">
        <v>391</v>
      </c>
      <c r="B392">
        <v>99.050514200067326</v>
      </c>
    </row>
    <row r="393" spans="1:2" x14ac:dyDescent="0.25">
      <c r="A393">
        <v>392</v>
      </c>
      <c r="B393">
        <v>41.261767691142651</v>
      </c>
    </row>
    <row r="394" spans="1:2" x14ac:dyDescent="0.25">
      <c r="A394">
        <v>393</v>
      </c>
      <c r="B394">
        <v>37.201808579278307</v>
      </c>
    </row>
    <row r="395" spans="1:2" x14ac:dyDescent="0.25">
      <c r="A395">
        <v>394</v>
      </c>
      <c r="B395">
        <v>77.641296074199687</v>
      </c>
    </row>
    <row r="396" spans="1:2" x14ac:dyDescent="0.25">
      <c r="A396">
        <v>395</v>
      </c>
      <c r="B396">
        <v>34.080354025301787</v>
      </c>
    </row>
    <row r="397" spans="1:2" x14ac:dyDescent="0.25">
      <c r="A397">
        <v>396</v>
      </c>
      <c r="B397">
        <v>93.075732560356471</v>
      </c>
    </row>
    <row r="398" spans="1:2" x14ac:dyDescent="0.25">
      <c r="A398">
        <v>397</v>
      </c>
      <c r="B398">
        <v>85.841275184301182</v>
      </c>
    </row>
    <row r="399" spans="1:2" x14ac:dyDescent="0.25">
      <c r="A399">
        <v>398</v>
      </c>
      <c r="B399">
        <v>42.899402737501838</v>
      </c>
    </row>
    <row r="400" spans="1:2" x14ac:dyDescent="0.25">
      <c r="A400">
        <v>399</v>
      </c>
      <c r="B400">
        <v>75.087106779149735</v>
      </c>
    </row>
    <row r="401" spans="1:2" x14ac:dyDescent="0.25">
      <c r="A401">
        <v>400</v>
      </c>
      <c r="B401">
        <v>75.454287408468232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"/>
  <sheetViews>
    <sheetView zoomScale="55" zoomScaleNormal="55" workbookViewId="0">
      <selection activeCell="D110" sqref="D110"/>
    </sheetView>
  </sheetViews>
  <sheetFormatPr defaultRowHeight="15" x14ac:dyDescent="0.25"/>
  <cols>
    <col min="1" max="1" width="18.140625" style="1" customWidth="1"/>
    <col min="2" max="2" width="20" style="1" customWidth="1"/>
    <col min="3" max="3" width="27" style="1" customWidth="1"/>
    <col min="4" max="4" width="28.7109375" style="1" customWidth="1"/>
    <col min="5" max="5" width="12.7109375" style="1" customWidth="1"/>
    <col min="7" max="7" width="21.5703125" style="1" customWidth="1"/>
    <col min="8" max="8" width="23.42578125" style="1" customWidth="1"/>
    <col min="9" max="9" width="29.42578125" style="1" customWidth="1"/>
    <col min="10" max="10" width="31.28515625" style="1" customWidth="1"/>
    <col min="11" max="11" width="12.7109375" style="1" customWidth="1"/>
    <col min="13" max="13" width="18.140625" style="1" customWidth="1"/>
    <col min="14" max="14" width="20.140625" style="1" customWidth="1"/>
    <col min="15" max="15" width="26.42578125" style="1" customWidth="1"/>
    <col min="16" max="16" width="28.42578125" style="1" customWidth="1"/>
    <col min="17" max="17" width="12.7109375" style="1" customWidth="1"/>
  </cols>
  <sheetData>
    <row r="1" spans="1:17" x14ac:dyDescent="0.25">
      <c r="A1" s="4" t="s">
        <v>13</v>
      </c>
      <c r="B1" s="4" t="s">
        <v>14</v>
      </c>
      <c r="C1" s="4" t="s">
        <v>20</v>
      </c>
      <c r="D1" s="4" t="s">
        <v>21</v>
      </c>
      <c r="E1" s="4" t="s">
        <v>19</v>
      </c>
      <c r="F1" s="3"/>
      <c r="G1" s="4" t="s">
        <v>15</v>
      </c>
      <c r="H1" s="4" t="s">
        <v>16</v>
      </c>
      <c r="I1" s="4" t="s">
        <v>22</v>
      </c>
      <c r="J1" s="4" t="s">
        <v>23</v>
      </c>
      <c r="K1" s="4" t="s">
        <v>19</v>
      </c>
      <c r="L1" s="3"/>
      <c r="M1" s="4" t="s">
        <v>17</v>
      </c>
      <c r="N1" s="4" t="s">
        <v>18</v>
      </c>
      <c r="O1" s="4" t="s">
        <v>24</v>
      </c>
      <c r="P1" s="4" t="s">
        <v>25</v>
      </c>
      <c r="Q1" s="4" t="s">
        <v>19</v>
      </c>
    </row>
    <row r="2" spans="1:17" x14ac:dyDescent="0.25">
      <c r="A2" s="2">
        <v>348</v>
      </c>
      <c r="B2" s="2">
        <v>4.5304009772044518</v>
      </c>
      <c r="C2" s="2">
        <v>245</v>
      </c>
      <c r="D2" s="2">
        <v>1.5456616528867431</v>
      </c>
      <c r="E2" s="2">
        <f>AVERAGE(B:B)</f>
        <v>53.17383711677958</v>
      </c>
      <c r="G2" s="2">
        <v>5</v>
      </c>
      <c r="H2" s="2">
        <v>15.60186404424365</v>
      </c>
      <c r="I2" s="2">
        <v>245</v>
      </c>
      <c r="J2" s="2">
        <v>1.5456616528867431</v>
      </c>
      <c r="K2" s="2">
        <f>AVERAGE(H:H)</f>
        <v>45.285893575385472</v>
      </c>
      <c r="M2" s="2">
        <v>46</v>
      </c>
      <c r="N2" s="2">
        <v>66.252228435398195</v>
      </c>
      <c r="O2" s="2">
        <v>333</v>
      </c>
      <c r="P2" s="2">
        <v>1.4393488629755871</v>
      </c>
      <c r="Q2" s="2">
        <f>AVERAGE(N:N)</f>
        <v>52.701879359876543</v>
      </c>
    </row>
    <row r="3" spans="1:17" x14ac:dyDescent="0.25">
      <c r="A3" s="2">
        <v>71</v>
      </c>
      <c r="B3" s="2">
        <v>77.224476929665741</v>
      </c>
      <c r="C3" s="2">
        <v>291</v>
      </c>
      <c r="D3" s="2">
        <v>3.0500249939049429</v>
      </c>
      <c r="E3" s="2">
        <f t="shared" ref="E3:E66" si="0">AVERAGE(B:B)</f>
        <v>53.17383711677958</v>
      </c>
      <c r="G3" s="2">
        <v>10</v>
      </c>
      <c r="H3" s="2">
        <v>70.807257779604555</v>
      </c>
      <c r="I3" s="2">
        <v>335</v>
      </c>
      <c r="J3" s="2">
        <v>4.6002642021752749</v>
      </c>
      <c r="K3" s="2">
        <f t="shared" ref="K3:K66" si="1">AVERAGE(H:H)</f>
        <v>45.285893575385472</v>
      </c>
      <c r="M3" s="2">
        <v>49</v>
      </c>
      <c r="N3" s="2">
        <v>54.671027934327967</v>
      </c>
      <c r="O3" s="2">
        <v>172</v>
      </c>
      <c r="P3" s="2">
        <v>1.658782892785615</v>
      </c>
      <c r="Q3" s="2">
        <f t="shared" ref="Q3:Q66" si="2">AVERAGE(N:N)</f>
        <v>52.701879359876543</v>
      </c>
    </row>
    <row r="4" spans="1:17" x14ac:dyDescent="0.25">
      <c r="A4" s="2">
        <v>246</v>
      </c>
      <c r="B4" s="2">
        <v>92.831856258772532</v>
      </c>
      <c r="C4" s="2">
        <v>101</v>
      </c>
      <c r="D4" s="2">
        <v>3.1429185686734251</v>
      </c>
      <c r="E4" s="2">
        <f t="shared" si="0"/>
        <v>53.17383711677958</v>
      </c>
      <c r="G4" s="2">
        <v>15</v>
      </c>
      <c r="H4" s="2">
        <v>18.182496720710059</v>
      </c>
      <c r="I4" s="2">
        <v>30</v>
      </c>
      <c r="J4" s="2">
        <v>4.6450412719997729</v>
      </c>
      <c r="K4" s="2">
        <f t="shared" si="1"/>
        <v>45.285893575385472</v>
      </c>
      <c r="M4" s="2">
        <v>45</v>
      </c>
      <c r="N4" s="2">
        <v>25.877998160001692</v>
      </c>
      <c r="O4" s="2">
        <v>101</v>
      </c>
      <c r="P4" s="2">
        <v>3.1429185686734251</v>
      </c>
      <c r="Q4" s="2">
        <f t="shared" si="2"/>
        <v>52.701879359876543</v>
      </c>
    </row>
    <row r="5" spans="1:17" x14ac:dyDescent="0.25">
      <c r="A5" s="2">
        <v>250</v>
      </c>
      <c r="B5" s="2">
        <v>85.300945546736003</v>
      </c>
      <c r="C5" s="2">
        <v>169</v>
      </c>
      <c r="D5" s="2">
        <v>4.0775141554763916</v>
      </c>
      <c r="E5" s="2">
        <f t="shared" si="0"/>
        <v>53.17383711677958</v>
      </c>
      <c r="G5" s="2">
        <v>20</v>
      </c>
      <c r="H5" s="2">
        <v>29.122914019804188</v>
      </c>
      <c r="I5" s="2">
        <v>370</v>
      </c>
      <c r="J5" s="2">
        <v>6.9361300875165446</v>
      </c>
      <c r="K5" s="2">
        <f t="shared" si="1"/>
        <v>45.285893575385472</v>
      </c>
      <c r="M5" s="2">
        <v>66</v>
      </c>
      <c r="N5" s="2">
        <v>54.269608315824847</v>
      </c>
      <c r="O5" s="2">
        <v>43</v>
      </c>
      <c r="P5" s="2">
        <v>3.43885211152184</v>
      </c>
      <c r="Q5" s="2">
        <f t="shared" si="2"/>
        <v>52.701879359876543</v>
      </c>
    </row>
    <row r="6" spans="1:17" x14ac:dyDescent="0.25">
      <c r="A6" s="2">
        <v>289</v>
      </c>
      <c r="B6" s="2">
        <v>28.65412521282844</v>
      </c>
      <c r="C6" s="2">
        <v>348</v>
      </c>
      <c r="D6" s="2">
        <v>4.5304009772044518</v>
      </c>
      <c r="E6" s="2">
        <f t="shared" si="0"/>
        <v>53.17383711677958</v>
      </c>
      <c r="G6" s="2">
        <v>25</v>
      </c>
      <c r="H6" s="2">
        <v>45.606998421703587</v>
      </c>
      <c r="I6" s="2">
        <v>355</v>
      </c>
      <c r="J6" s="2">
        <v>7.0568747400429839</v>
      </c>
      <c r="K6" s="2">
        <f t="shared" si="1"/>
        <v>45.285893575385472</v>
      </c>
      <c r="M6" s="2">
        <v>16</v>
      </c>
      <c r="N6" s="2">
        <v>18.340450985343381</v>
      </c>
      <c r="O6" s="2">
        <v>336</v>
      </c>
      <c r="P6" s="2">
        <v>4.0728802318970132</v>
      </c>
      <c r="Q6" s="2">
        <f t="shared" si="2"/>
        <v>52.701879359876543</v>
      </c>
    </row>
    <row r="7" spans="1:17" x14ac:dyDescent="0.25">
      <c r="A7" s="2">
        <v>346</v>
      </c>
      <c r="B7" s="2">
        <v>61.585009805221652</v>
      </c>
      <c r="C7" s="2">
        <v>124</v>
      </c>
      <c r="D7" s="2">
        <v>11.00519245276768</v>
      </c>
      <c r="E7" s="2">
        <f t="shared" si="0"/>
        <v>53.17383711677958</v>
      </c>
      <c r="G7" s="2">
        <v>30</v>
      </c>
      <c r="H7" s="2">
        <v>4.6450412719997729</v>
      </c>
      <c r="I7" s="2">
        <v>375</v>
      </c>
      <c r="J7" s="2">
        <v>7.1188648460228983</v>
      </c>
      <c r="K7" s="2">
        <f t="shared" si="1"/>
        <v>45.285893575385472</v>
      </c>
      <c r="M7" s="2">
        <v>41</v>
      </c>
      <c r="N7" s="2">
        <v>12.20382348447788</v>
      </c>
      <c r="O7" s="2">
        <v>335</v>
      </c>
      <c r="P7" s="2">
        <v>4.6002642021752749</v>
      </c>
      <c r="Q7" s="2">
        <f t="shared" si="2"/>
        <v>52.701879359876543</v>
      </c>
    </row>
    <row r="8" spans="1:17" x14ac:dyDescent="0.25">
      <c r="A8" s="2">
        <v>278</v>
      </c>
      <c r="B8" s="2">
        <v>64.996393077776517</v>
      </c>
      <c r="C8" s="2">
        <v>295</v>
      </c>
      <c r="D8" s="2">
        <v>12.70605126518848</v>
      </c>
      <c r="E8" s="2">
        <f t="shared" si="0"/>
        <v>53.17383711677958</v>
      </c>
      <c r="G8" s="2">
        <v>35</v>
      </c>
      <c r="H8" s="2">
        <v>96.563203307455936</v>
      </c>
      <c r="I8" s="2">
        <v>110</v>
      </c>
      <c r="J8" s="2">
        <v>7.6979909828792987</v>
      </c>
      <c r="K8" s="2">
        <f t="shared" si="1"/>
        <v>45.285893575385472</v>
      </c>
      <c r="M8" s="2">
        <v>43</v>
      </c>
      <c r="N8" s="2">
        <v>3.43885211152184</v>
      </c>
      <c r="O8" s="2">
        <v>7</v>
      </c>
      <c r="P8" s="2">
        <v>5.8083612168199474</v>
      </c>
      <c r="Q8" s="2">
        <f t="shared" si="2"/>
        <v>52.701879359876543</v>
      </c>
    </row>
    <row r="9" spans="1:17" x14ac:dyDescent="0.25">
      <c r="A9" s="2">
        <v>281</v>
      </c>
      <c r="B9" s="2">
        <v>89.000534181756635</v>
      </c>
      <c r="C9" s="2">
        <v>67</v>
      </c>
      <c r="D9" s="2">
        <v>14.09242249747626</v>
      </c>
      <c r="E9" s="2">
        <f t="shared" si="0"/>
        <v>53.17383711677958</v>
      </c>
      <c r="G9" s="2">
        <v>40</v>
      </c>
      <c r="H9" s="2">
        <v>44.015249373960131</v>
      </c>
      <c r="I9" s="2">
        <v>300</v>
      </c>
      <c r="J9" s="2">
        <v>8.5347464993767996</v>
      </c>
      <c r="K9" s="2">
        <f t="shared" si="1"/>
        <v>45.285893575385472</v>
      </c>
      <c r="M9" s="2">
        <v>36</v>
      </c>
      <c r="N9" s="2">
        <v>80.83973481164611</v>
      </c>
      <c r="O9" s="2">
        <v>355</v>
      </c>
      <c r="P9" s="2">
        <v>7.0568747400429839</v>
      </c>
      <c r="Q9" s="2">
        <f t="shared" si="2"/>
        <v>52.701879359876543</v>
      </c>
    </row>
    <row r="10" spans="1:17" x14ac:dyDescent="0.25">
      <c r="A10" s="2">
        <v>107</v>
      </c>
      <c r="B10" s="2">
        <v>41.038292303562983</v>
      </c>
      <c r="C10" s="2">
        <v>319</v>
      </c>
      <c r="D10" s="2">
        <v>15.64370426710861</v>
      </c>
      <c r="E10" s="2">
        <f t="shared" si="0"/>
        <v>53.17383711677958</v>
      </c>
      <c r="G10" s="2">
        <v>45</v>
      </c>
      <c r="H10" s="2">
        <v>25.877998160001692</v>
      </c>
      <c r="I10" s="2">
        <v>165</v>
      </c>
      <c r="J10" s="2">
        <v>9.0289770054408294</v>
      </c>
      <c r="K10" s="2">
        <f t="shared" si="1"/>
        <v>45.285893575385472</v>
      </c>
      <c r="M10" s="2">
        <v>65</v>
      </c>
      <c r="N10" s="2">
        <v>28.093450968738079</v>
      </c>
      <c r="O10" s="2">
        <v>312</v>
      </c>
      <c r="P10" s="2">
        <v>7.8456381342265953</v>
      </c>
      <c r="Q10" s="2">
        <f t="shared" si="2"/>
        <v>52.701879359876543</v>
      </c>
    </row>
    <row r="11" spans="1:17" x14ac:dyDescent="0.25">
      <c r="A11" s="2">
        <v>388</v>
      </c>
      <c r="B11" s="2">
        <v>17.74395437797228</v>
      </c>
      <c r="C11" s="2">
        <v>210</v>
      </c>
      <c r="D11" s="2">
        <v>16.08080514174987</v>
      </c>
      <c r="E11" s="2">
        <f t="shared" si="0"/>
        <v>53.17383711677958</v>
      </c>
      <c r="G11" s="2">
        <v>50</v>
      </c>
      <c r="H11" s="2">
        <v>18.485445552552701</v>
      </c>
      <c r="I11" s="2">
        <v>260</v>
      </c>
      <c r="J11" s="2">
        <v>9.7176493770768531</v>
      </c>
      <c r="K11" s="2">
        <f t="shared" si="1"/>
        <v>45.285893575385472</v>
      </c>
      <c r="M11" s="2">
        <v>25</v>
      </c>
      <c r="N11" s="2">
        <v>45.606998421703587</v>
      </c>
      <c r="O11" s="2">
        <v>165</v>
      </c>
      <c r="P11" s="2">
        <v>9.0289770054408294</v>
      </c>
      <c r="Q11" s="2">
        <f t="shared" si="2"/>
        <v>52.701879359876543</v>
      </c>
    </row>
    <row r="12" spans="1:17" x14ac:dyDescent="0.25">
      <c r="A12" s="2">
        <v>125</v>
      </c>
      <c r="B12" s="2">
        <v>22.79351625419417</v>
      </c>
      <c r="C12" s="2">
        <v>354</v>
      </c>
      <c r="D12" s="2">
        <v>16.293442708142969</v>
      </c>
      <c r="E12" s="2">
        <f t="shared" si="0"/>
        <v>53.17383711677958</v>
      </c>
      <c r="G12" s="2">
        <v>55</v>
      </c>
      <c r="H12" s="2">
        <v>59.789997881108512</v>
      </c>
      <c r="I12" s="2">
        <v>340</v>
      </c>
      <c r="J12" s="2">
        <v>9.7834160651001483</v>
      </c>
      <c r="K12" s="2">
        <f t="shared" si="1"/>
        <v>45.285893575385472</v>
      </c>
      <c r="M12" s="2">
        <v>18</v>
      </c>
      <c r="N12" s="2">
        <v>52.475643163223793</v>
      </c>
      <c r="O12" s="2">
        <v>124</v>
      </c>
      <c r="P12" s="2">
        <v>11.00519245276768</v>
      </c>
      <c r="Q12" s="2">
        <f t="shared" si="2"/>
        <v>52.701879359876543</v>
      </c>
    </row>
    <row r="13" spans="1:17" x14ac:dyDescent="0.25">
      <c r="A13" s="2">
        <v>198</v>
      </c>
      <c r="B13" s="2">
        <v>89.711025995257714</v>
      </c>
      <c r="C13" s="2">
        <v>176</v>
      </c>
      <c r="D13" s="2">
        <v>17.436642900499141</v>
      </c>
      <c r="E13" s="2">
        <f t="shared" si="0"/>
        <v>53.17383711677958</v>
      </c>
      <c r="G13" s="2">
        <v>60</v>
      </c>
      <c r="H13" s="2">
        <v>32.533033076326433</v>
      </c>
      <c r="I13" s="2">
        <v>100</v>
      </c>
      <c r="J13" s="2">
        <v>10.789142699330441</v>
      </c>
      <c r="K13" s="2">
        <f t="shared" si="1"/>
        <v>45.285893575385472</v>
      </c>
      <c r="M13" s="2">
        <v>7</v>
      </c>
      <c r="N13" s="2">
        <v>5.8083612168199474</v>
      </c>
      <c r="O13" s="2">
        <v>41</v>
      </c>
      <c r="P13" s="2">
        <v>12.20382348447788</v>
      </c>
      <c r="Q13" s="2">
        <f t="shared" si="2"/>
        <v>52.701879359876543</v>
      </c>
    </row>
    <row r="14" spans="1:17" x14ac:dyDescent="0.25">
      <c r="A14" s="2">
        <v>101</v>
      </c>
      <c r="B14" s="2">
        <v>3.1429185686734251</v>
      </c>
      <c r="C14" s="2">
        <v>388</v>
      </c>
      <c r="D14" s="2">
        <v>17.74395437797228</v>
      </c>
      <c r="E14" s="2">
        <f t="shared" si="0"/>
        <v>53.17383711677958</v>
      </c>
      <c r="G14" s="2">
        <v>65</v>
      </c>
      <c r="H14" s="2">
        <v>28.093450968738079</v>
      </c>
      <c r="I14" s="2">
        <v>80</v>
      </c>
      <c r="J14" s="2">
        <v>11.58690595251297</v>
      </c>
      <c r="K14" s="2">
        <f t="shared" si="1"/>
        <v>45.285893575385472</v>
      </c>
      <c r="M14" s="2">
        <v>53</v>
      </c>
      <c r="N14" s="2">
        <v>93.949894156418907</v>
      </c>
      <c r="O14" s="2">
        <v>319</v>
      </c>
      <c r="P14" s="2">
        <v>15.64370426710861</v>
      </c>
      <c r="Q14" s="2">
        <f t="shared" si="2"/>
        <v>52.701879359876543</v>
      </c>
    </row>
    <row r="15" spans="1:17" x14ac:dyDescent="0.25">
      <c r="A15" s="2">
        <v>16</v>
      </c>
      <c r="B15" s="2">
        <v>18.340450985343381</v>
      </c>
      <c r="C15" s="2">
        <v>15</v>
      </c>
      <c r="D15" s="2">
        <v>18.182496720710059</v>
      </c>
      <c r="E15" s="2">
        <f t="shared" si="0"/>
        <v>53.17383711677958</v>
      </c>
      <c r="G15" s="2">
        <v>70</v>
      </c>
      <c r="H15" s="2">
        <v>98.688693660051726</v>
      </c>
      <c r="I15" s="2">
        <v>295</v>
      </c>
      <c r="J15" s="2">
        <v>12.70605126518848</v>
      </c>
      <c r="K15" s="2">
        <f t="shared" si="1"/>
        <v>45.285893575385472</v>
      </c>
      <c r="M15" s="2">
        <v>42</v>
      </c>
      <c r="N15" s="2">
        <v>49.51769101112702</v>
      </c>
      <c r="O15" s="2">
        <v>112</v>
      </c>
      <c r="P15" s="2">
        <v>16.12212872540044</v>
      </c>
      <c r="Q15" s="2">
        <f t="shared" si="2"/>
        <v>52.701879359876543</v>
      </c>
    </row>
    <row r="16" spans="1:17" x14ac:dyDescent="0.25">
      <c r="A16" s="2">
        <v>305</v>
      </c>
      <c r="B16" s="2">
        <v>72.609133372266157</v>
      </c>
      <c r="C16" s="2">
        <v>16</v>
      </c>
      <c r="D16" s="2">
        <v>18.340450985343381</v>
      </c>
      <c r="E16" s="2">
        <f t="shared" si="0"/>
        <v>53.17383711677958</v>
      </c>
      <c r="G16" s="2">
        <v>75</v>
      </c>
      <c r="H16" s="2">
        <v>70.685734384761716</v>
      </c>
      <c r="I16" s="2">
        <v>180</v>
      </c>
      <c r="J16" s="2">
        <v>13.75209441459933</v>
      </c>
      <c r="K16" s="2">
        <f t="shared" si="1"/>
        <v>45.285893575385472</v>
      </c>
      <c r="M16" s="2">
        <v>54</v>
      </c>
      <c r="N16" s="2">
        <v>89.482735042764887</v>
      </c>
      <c r="O16" s="2">
        <v>255</v>
      </c>
      <c r="P16" s="2">
        <v>16.949274668609249</v>
      </c>
      <c r="Q16" s="2">
        <f t="shared" si="2"/>
        <v>52.701879359876543</v>
      </c>
    </row>
    <row r="17" spans="1:17" x14ac:dyDescent="0.25">
      <c r="A17" s="2">
        <v>152</v>
      </c>
      <c r="B17" s="2">
        <v>23.956189066697242</v>
      </c>
      <c r="C17" s="2">
        <v>298</v>
      </c>
      <c r="D17" s="2">
        <v>21.582102749684321</v>
      </c>
      <c r="E17" s="2">
        <f t="shared" si="0"/>
        <v>53.17383711677958</v>
      </c>
      <c r="G17" s="2">
        <v>80</v>
      </c>
      <c r="H17" s="2">
        <v>11.58690595251297</v>
      </c>
      <c r="I17" s="2">
        <v>5</v>
      </c>
      <c r="J17" s="2">
        <v>15.60186404424365</v>
      </c>
      <c r="K17" s="2">
        <f t="shared" si="1"/>
        <v>45.285893575385472</v>
      </c>
      <c r="M17" s="2">
        <v>32</v>
      </c>
      <c r="N17" s="2">
        <v>17.052412368729151</v>
      </c>
      <c r="O17" s="2">
        <v>32</v>
      </c>
      <c r="P17" s="2">
        <v>17.052412368729151</v>
      </c>
      <c r="Q17" s="2">
        <f t="shared" si="2"/>
        <v>52.701879359876543</v>
      </c>
    </row>
    <row r="18" spans="1:17" x14ac:dyDescent="0.25">
      <c r="A18" s="2">
        <v>225</v>
      </c>
      <c r="B18" s="2">
        <v>26.520236768172541</v>
      </c>
      <c r="C18" s="2">
        <v>125</v>
      </c>
      <c r="D18" s="2">
        <v>22.79351625419417</v>
      </c>
      <c r="E18" s="2">
        <f t="shared" si="0"/>
        <v>53.17383711677958</v>
      </c>
      <c r="G18" s="2">
        <v>85</v>
      </c>
      <c r="H18" s="2">
        <v>31.09823217156622</v>
      </c>
      <c r="I18" s="2">
        <v>210</v>
      </c>
      <c r="J18" s="2">
        <v>16.08080514174987</v>
      </c>
      <c r="K18" s="2">
        <f t="shared" si="1"/>
        <v>45.285893575385472</v>
      </c>
      <c r="M18" s="2">
        <v>121</v>
      </c>
      <c r="N18" s="2">
        <v>80.74401551640625</v>
      </c>
      <c r="O18" s="2">
        <v>176</v>
      </c>
      <c r="P18" s="2">
        <v>17.436642900499141</v>
      </c>
      <c r="Q18" s="2">
        <f t="shared" si="2"/>
        <v>52.701879359876543</v>
      </c>
    </row>
    <row r="19" spans="1:17" x14ac:dyDescent="0.25">
      <c r="A19" s="2">
        <v>31</v>
      </c>
      <c r="B19" s="2">
        <v>60.754485190143839</v>
      </c>
      <c r="C19" s="2">
        <v>216</v>
      </c>
      <c r="D19" s="2">
        <v>23.724908749680012</v>
      </c>
      <c r="E19" s="2">
        <f t="shared" si="0"/>
        <v>53.17383711677958</v>
      </c>
      <c r="G19" s="2">
        <v>90</v>
      </c>
      <c r="H19" s="2">
        <v>47.221492516194928</v>
      </c>
      <c r="I19" s="2">
        <v>255</v>
      </c>
      <c r="J19" s="2">
        <v>16.949274668609249</v>
      </c>
      <c r="K19" s="2">
        <f t="shared" si="1"/>
        <v>45.285893575385472</v>
      </c>
      <c r="M19" s="2">
        <v>89</v>
      </c>
      <c r="N19" s="2">
        <v>88.721274257632658</v>
      </c>
      <c r="O19" s="2">
        <v>16</v>
      </c>
      <c r="P19" s="2">
        <v>18.340450985343381</v>
      </c>
      <c r="Q19" s="2">
        <f t="shared" si="2"/>
        <v>52.701879359876543</v>
      </c>
    </row>
    <row r="20" spans="1:17" x14ac:dyDescent="0.25">
      <c r="A20" s="2">
        <v>150</v>
      </c>
      <c r="B20" s="2">
        <v>27.864646423661139</v>
      </c>
      <c r="C20" s="2">
        <v>152</v>
      </c>
      <c r="D20" s="2">
        <v>23.956189066697242</v>
      </c>
      <c r="E20" s="2">
        <f t="shared" si="0"/>
        <v>53.17383711677958</v>
      </c>
      <c r="G20" s="2">
        <v>95</v>
      </c>
      <c r="H20" s="2">
        <v>77.096717995456103</v>
      </c>
      <c r="I20" s="2">
        <v>240</v>
      </c>
      <c r="J20" s="2">
        <v>17.71106794070489</v>
      </c>
      <c r="K20" s="2">
        <f t="shared" si="1"/>
        <v>45.285893575385472</v>
      </c>
      <c r="M20" s="2">
        <v>96</v>
      </c>
      <c r="N20" s="2">
        <v>49.379559636439083</v>
      </c>
      <c r="O20" s="2">
        <v>369</v>
      </c>
      <c r="P20" s="2">
        <v>19.579113478929639</v>
      </c>
      <c r="Q20" s="2">
        <f t="shared" si="2"/>
        <v>52.701879359876543</v>
      </c>
    </row>
    <row r="21" spans="1:17" x14ac:dyDescent="0.25">
      <c r="A21" s="2">
        <v>308</v>
      </c>
      <c r="B21" s="2">
        <v>32.295647294124599</v>
      </c>
      <c r="C21" s="2">
        <v>226</v>
      </c>
      <c r="D21" s="2">
        <v>24.39896433790836</v>
      </c>
      <c r="E21" s="2">
        <f t="shared" si="0"/>
        <v>53.17383711677958</v>
      </c>
      <c r="G21" s="2">
        <v>100</v>
      </c>
      <c r="H21" s="2">
        <v>10.789142699330441</v>
      </c>
      <c r="I21" s="2">
        <v>15</v>
      </c>
      <c r="J21" s="2">
        <v>18.182496720710059</v>
      </c>
      <c r="K21" s="2">
        <f t="shared" si="1"/>
        <v>45.285893575385472</v>
      </c>
      <c r="M21" s="2">
        <v>98</v>
      </c>
      <c r="N21" s="2">
        <v>42.754101835854961</v>
      </c>
      <c r="O21" s="2">
        <v>174</v>
      </c>
      <c r="P21" s="2">
        <v>22.649577519793791</v>
      </c>
      <c r="Q21" s="2">
        <f t="shared" si="2"/>
        <v>52.701879359876543</v>
      </c>
    </row>
    <row r="22" spans="1:17" x14ac:dyDescent="0.25">
      <c r="A22" s="2">
        <v>211</v>
      </c>
      <c r="B22" s="2">
        <v>54.873378936658611</v>
      </c>
      <c r="C22" s="2">
        <v>225</v>
      </c>
      <c r="D22" s="2">
        <v>26.520236768172541</v>
      </c>
      <c r="E22" s="2">
        <f t="shared" si="0"/>
        <v>53.17383711677958</v>
      </c>
      <c r="G22" s="2">
        <v>105</v>
      </c>
      <c r="H22" s="2">
        <v>90.756647392609295</v>
      </c>
      <c r="I22" s="2">
        <v>50</v>
      </c>
      <c r="J22" s="2">
        <v>18.485445552552701</v>
      </c>
      <c r="K22" s="2">
        <f t="shared" si="1"/>
        <v>45.285893575385472</v>
      </c>
      <c r="M22" s="2">
        <v>83</v>
      </c>
      <c r="N22" s="2">
        <v>33.089802485264919</v>
      </c>
      <c r="O22" s="2">
        <v>190</v>
      </c>
      <c r="P22" s="2">
        <v>24.185229090045169</v>
      </c>
      <c r="Q22" s="2">
        <f t="shared" si="2"/>
        <v>52.701879359876543</v>
      </c>
    </row>
    <row r="23" spans="1:17" x14ac:dyDescent="0.25">
      <c r="A23" s="2">
        <v>310</v>
      </c>
      <c r="B23" s="2">
        <v>27.08322512620742</v>
      </c>
      <c r="C23" s="2">
        <v>310</v>
      </c>
      <c r="D23" s="2">
        <v>27.08322512620742</v>
      </c>
      <c r="E23" s="2">
        <f t="shared" si="0"/>
        <v>53.17383711677958</v>
      </c>
      <c r="G23" s="2">
        <v>110</v>
      </c>
      <c r="H23" s="2">
        <v>7.6979909828792987</v>
      </c>
      <c r="I23" s="2">
        <v>235</v>
      </c>
      <c r="J23" s="2">
        <v>19.52429877980445</v>
      </c>
      <c r="K23" s="2">
        <f t="shared" si="1"/>
        <v>45.285893575385472</v>
      </c>
      <c r="M23" s="2">
        <v>112</v>
      </c>
      <c r="N23" s="2">
        <v>16.12212872540044</v>
      </c>
      <c r="O23" s="2">
        <v>45</v>
      </c>
      <c r="P23" s="2">
        <v>25.877998160001692</v>
      </c>
      <c r="Q23" s="2">
        <f t="shared" si="2"/>
        <v>52.701879359876543</v>
      </c>
    </row>
    <row r="24" spans="1:17" x14ac:dyDescent="0.25">
      <c r="A24" s="2">
        <v>169</v>
      </c>
      <c r="B24" s="2">
        <v>4.0775141554763916</v>
      </c>
      <c r="C24" s="2">
        <v>150</v>
      </c>
      <c r="D24" s="2">
        <v>27.864646423661139</v>
      </c>
      <c r="E24" s="2">
        <f t="shared" si="0"/>
        <v>53.17383711677958</v>
      </c>
      <c r="G24" s="2">
        <v>115</v>
      </c>
      <c r="H24" s="2">
        <v>63.340375651042343</v>
      </c>
      <c r="I24" s="2">
        <v>125</v>
      </c>
      <c r="J24" s="2">
        <v>22.79351625419417</v>
      </c>
      <c r="K24" s="2">
        <f t="shared" si="1"/>
        <v>45.285893575385472</v>
      </c>
      <c r="M24" s="2">
        <v>124</v>
      </c>
      <c r="N24" s="2">
        <v>11.00519245276768</v>
      </c>
      <c r="O24" s="2">
        <v>65</v>
      </c>
      <c r="P24" s="2">
        <v>28.093450968738079</v>
      </c>
      <c r="Q24" s="2">
        <f t="shared" si="2"/>
        <v>52.701879359876543</v>
      </c>
    </row>
    <row r="25" spans="1:17" x14ac:dyDescent="0.25">
      <c r="A25" s="2">
        <v>295</v>
      </c>
      <c r="B25" s="2">
        <v>12.70605126518848</v>
      </c>
      <c r="C25" s="2">
        <v>289</v>
      </c>
      <c r="D25" s="2">
        <v>28.65412521282844</v>
      </c>
      <c r="E25" s="2">
        <f t="shared" si="0"/>
        <v>53.17383711677958</v>
      </c>
      <c r="G25" s="2">
        <v>120</v>
      </c>
      <c r="H25" s="2">
        <v>53.934224191565072</v>
      </c>
      <c r="I25" s="2">
        <v>190</v>
      </c>
      <c r="J25" s="2">
        <v>24.185229090045169</v>
      </c>
      <c r="K25" s="2">
        <f t="shared" si="1"/>
        <v>45.285893575385472</v>
      </c>
      <c r="M25" s="2">
        <v>81</v>
      </c>
      <c r="N25" s="2">
        <v>86.310342587559347</v>
      </c>
      <c r="O25" s="2">
        <v>270</v>
      </c>
      <c r="P25" s="2">
        <v>29.359184426449339</v>
      </c>
      <c r="Q25" s="2">
        <f t="shared" si="2"/>
        <v>52.701879359876543</v>
      </c>
    </row>
    <row r="26" spans="1:17" x14ac:dyDescent="0.25">
      <c r="A26" s="2">
        <v>60</v>
      </c>
      <c r="B26" s="2">
        <v>32.533033076326433</v>
      </c>
      <c r="C26" s="2">
        <v>270</v>
      </c>
      <c r="D26" s="2">
        <v>29.359184426449339</v>
      </c>
      <c r="E26" s="2">
        <f t="shared" si="0"/>
        <v>53.17383711677958</v>
      </c>
      <c r="G26" s="2">
        <v>125</v>
      </c>
      <c r="H26" s="2">
        <v>22.79351625419417</v>
      </c>
      <c r="I26" s="2">
        <v>330</v>
      </c>
      <c r="J26" s="2">
        <v>24.773098950115749</v>
      </c>
      <c r="K26" s="2">
        <f t="shared" si="1"/>
        <v>45.285893575385472</v>
      </c>
      <c r="M26" s="2">
        <v>126</v>
      </c>
      <c r="N26" s="2">
        <v>42.710778862625631</v>
      </c>
      <c r="O26" s="2">
        <v>251</v>
      </c>
      <c r="P26" s="2">
        <v>29.444889206958571</v>
      </c>
      <c r="Q26" s="2">
        <f t="shared" si="2"/>
        <v>52.701879359876543</v>
      </c>
    </row>
    <row r="27" spans="1:17" x14ac:dyDescent="0.25">
      <c r="A27" s="2">
        <v>199</v>
      </c>
      <c r="B27" s="2">
        <v>88.70864242651173</v>
      </c>
      <c r="C27" s="2">
        <v>37</v>
      </c>
      <c r="D27" s="2">
        <v>30.46137691733707</v>
      </c>
      <c r="E27" s="2">
        <f t="shared" si="0"/>
        <v>53.17383711677958</v>
      </c>
      <c r="G27" s="2">
        <v>130</v>
      </c>
      <c r="H27" s="2">
        <v>51.07473025775657</v>
      </c>
      <c r="I27" s="2">
        <v>320</v>
      </c>
      <c r="J27" s="2">
        <v>25.024289816459529</v>
      </c>
      <c r="K27" s="2">
        <f t="shared" si="1"/>
        <v>45.285893575385472</v>
      </c>
      <c r="M27" s="2">
        <v>97</v>
      </c>
      <c r="N27" s="2">
        <v>52.273282938199408</v>
      </c>
      <c r="O27" s="2">
        <v>83</v>
      </c>
      <c r="P27" s="2">
        <v>33.089802485264919</v>
      </c>
      <c r="Q27" s="2">
        <f t="shared" si="2"/>
        <v>52.701879359876543</v>
      </c>
    </row>
    <row r="28" spans="1:17" x14ac:dyDescent="0.25">
      <c r="A28" s="2">
        <v>353</v>
      </c>
      <c r="B28" s="2">
        <v>65.869363161894498</v>
      </c>
      <c r="C28" s="2">
        <v>308</v>
      </c>
      <c r="D28" s="2">
        <v>32.295647294124599</v>
      </c>
      <c r="E28" s="2">
        <f t="shared" si="0"/>
        <v>53.17383711677958</v>
      </c>
      <c r="G28" s="2">
        <v>135</v>
      </c>
      <c r="H28" s="2">
        <v>94.290970391251918</v>
      </c>
      <c r="I28" s="2">
        <v>185</v>
      </c>
      <c r="J28" s="2">
        <v>25.794162771515559</v>
      </c>
      <c r="K28" s="2">
        <f t="shared" si="1"/>
        <v>45.285893575385472</v>
      </c>
      <c r="M28" s="2">
        <v>94</v>
      </c>
      <c r="N28" s="2">
        <v>56.127719756949617</v>
      </c>
      <c r="O28" s="2">
        <v>395</v>
      </c>
      <c r="P28" s="2">
        <v>34.080354025301787</v>
      </c>
      <c r="Q28" s="2">
        <f t="shared" si="2"/>
        <v>52.701879359876543</v>
      </c>
    </row>
    <row r="29" spans="1:17" x14ac:dyDescent="0.25">
      <c r="A29" s="2">
        <v>77</v>
      </c>
      <c r="B29" s="2">
        <v>77.127034668594575</v>
      </c>
      <c r="C29" s="2">
        <v>60</v>
      </c>
      <c r="D29" s="2">
        <v>32.533033076326433</v>
      </c>
      <c r="E29" s="2">
        <f t="shared" si="0"/>
        <v>53.17383711677958</v>
      </c>
      <c r="G29" s="2">
        <v>140</v>
      </c>
      <c r="H29" s="2">
        <v>97.178208272096072</v>
      </c>
      <c r="I29" s="2">
        <v>45</v>
      </c>
      <c r="J29" s="2">
        <v>25.877998160001692</v>
      </c>
      <c r="K29" s="2">
        <f t="shared" si="1"/>
        <v>45.285893575385472</v>
      </c>
      <c r="M29" s="2">
        <v>114</v>
      </c>
      <c r="N29" s="2">
        <v>80.812037956441699</v>
      </c>
      <c r="O29" s="2">
        <v>283</v>
      </c>
      <c r="P29" s="2">
        <v>37.558295263994403</v>
      </c>
      <c r="Q29" s="2">
        <f t="shared" si="2"/>
        <v>52.701879359876543</v>
      </c>
    </row>
    <row r="30" spans="1:17" x14ac:dyDescent="0.25">
      <c r="A30" s="2">
        <v>24</v>
      </c>
      <c r="B30" s="2">
        <v>36.636184329369172</v>
      </c>
      <c r="C30" s="2">
        <v>64</v>
      </c>
      <c r="D30" s="2">
        <v>35.67533266935893</v>
      </c>
      <c r="E30" s="2">
        <f t="shared" si="0"/>
        <v>53.17383711677958</v>
      </c>
      <c r="G30" s="2">
        <v>145</v>
      </c>
      <c r="H30" s="2">
        <v>28.484049437746759</v>
      </c>
      <c r="I30" s="2">
        <v>225</v>
      </c>
      <c r="J30" s="2">
        <v>26.520236768172541</v>
      </c>
      <c r="K30" s="2">
        <f t="shared" si="1"/>
        <v>45.285893575385472</v>
      </c>
      <c r="M30" s="2">
        <v>154</v>
      </c>
      <c r="N30" s="2">
        <v>48.9452760277563</v>
      </c>
      <c r="O30" s="2">
        <v>252</v>
      </c>
      <c r="P30" s="2">
        <v>38.509772860192527</v>
      </c>
      <c r="Q30" s="2">
        <f t="shared" si="2"/>
        <v>52.701879359876543</v>
      </c>
    </row>
    <row r="31" spans="1:17" x14ac:dyDescent="0.25">
      <c r="A31" s="2">
        <v>359</v>
      </c>
      <c r="B31" s="2">
        <v>94.023024142495757</v>
      </c>
      <c r="C31" s="2">
        <v>269</v>
      </c>
      <c r="D31" s="2">
        <v>35.949115121975517</v>
      </c>
      <c r="E31" s="2">
        <f t="shared" si="0"/>
        <v>53.17383711677958</v>
      </c>
      <c r="G31" s="2">
        <v>150</v>
      </c>
      <c r="H31" s="2">
        <v>27.864646423661139</v>
      </c>
      <c r="I31" s="2">
        <v>310</v>
      </c>
      <c r="J31" s="2">
        <v>27.08322512620742</v>
      </c>
      <c r="K31" s="2">
        <f t="shared" si="1"/>
        <v>45.285893575385472</v>
      </c>
      <c r="M31" s="2">
        <v>101</v>
      </c>
      <c r="N31" s="2">
        <v>3.1429185686734251</v>
      </c>
      <c r="O31" s="2">
        <v>392</v>
      </c>
      <c r="P31" s="2">
        <v>41.261767691142651</v>
      </c>
      <c r="Q31" s="2">
        <f t="shared" si="2"/>
        <v>52.701879359876543</v>
      </c>
    </row>
    <row r="32" spans="1:17" x14ac:dyDescent="0.25">
      <c r="A32" s="2">
        <v>241</v>
      </c>
      <c r="B32" s="2">
        <v>94.045858435291436</v>
      </c>
      <c r="C32" s="2">
        <v>294</v>
      </c>
      <c r="D32" s="2">
        <v>36.019064141126293</v>
      </c>
      <c r="E32" s="2">
        <f t="shared" si="0"/>
        <v>53.17383711677958</v>
      </c>
      <c r="G32" s="2">
        <v>155</v>
      </c>
      <c r="H32" s="2">
        <v>98.565045411060069</v>
      </c>
      <c r="I32" s="2">
        <v>150</v>
      </c>
      <c r="J32" s="2">
        <v>27.864646423661139</v>
      </c>
      <c r="K32" s="2">
        <f t="shared" si="1"/>
        <v>45.285893575385472</v>
      </c>
      <c r="M32" s="2">
        <v>120</v>
      </c>
      <c r="N32" s="2">
        <v>53.934224191565072</v>
      </c>
      <c r="O32" s="2">
        <v>126</v>
      </c>
      <c r="P32" s="2">
        <v>42.710778862625631</v>
      </c>
      <c r="Q32" s="2">
        <f t="shared" si="2"/>
        <v>52.701879359876543</v>
      </c>
    </row>
    <row r="33" spans="1:17" x14ac:dyDescent="0.25">
      <c r="A33" s="2">
        <v>231</v>
      </c>
      <c r="B33" s="2">
        <v>79.481130354164847</v>
      </c>
      <c r="C33" s="2">
        <v>24</v>
      </c>
      <c r="D33" s="2">
        <v>36.636184329369172</v>
      </c>
      <c r="E33" s="2">
        <f t="shared" si="0"/>
        <v>53.17383711677958</v>
      </c>
      <c r="G33" s="2">
        <v>160</v>
      </c>
      <c r="H33" s="2">
        <v>72.821634861185956</v>
      </c>
      <c r="I33" s="2">
        <v>65</v>
      </c>
      <c r="J33" s="2">
        <v>28.093450968738079</v>
      </c>
      <c r="K33" s="2">
        <f t="shared" si="1"/>
        <v>45.285893575385472</v>
      </c>
      <c r="M33" s="2">
        <v>151</v>
      </c>
      <c r="N33" s="2">
        <v>90.826588596665374</v>
      </c>
      <c r="O33" s="2">
        <v>98</v>
      </c>
      <c r="P33" s="2">
        <v>42.754101835854961</v>
      </c>
      <c r="Q33" s="2">
        <f t="shared" si="2"/>
        <v>52.701879359876543</v>
      </c>
    </row>
    <row r="34" spans="1:17" x14ac:dyDescent="0.25">
      <c r="A34" s="2">
        <v>396</v>
      </c>
      <c r="B34" s="2">
        <v>93.075732560356471</v>
      </c>
      <c r="C34" s="2">
        <v>349</v>
      </c>
      <c r="D34" s="2">
        <v>37.461261462647123</v>
      </c>
      <c r="E34" s="2">
        <f t="shared" si="0"/>
        <v>53.17383711677958</v>
      </c>
      <c r="G34" s="2">
        <v>165</v>
      </c>
      <c r="H34" s="2">
        <v>9.0289770054408294</v>
      </c>
      <c r="I34" s="2">
        <v>380</v>
      </c>
      <c r="J34" s="2">
        <v>28.18547747733999</v>
      </c>
      <c r="K34" s="2">
        <f t="shared" si="1"/>
        <v>45.285893575385472</v>
      </c>
      <c r="M34" s="2">
        <v>227</v>
      </c>
      <c r="N34" s="2">
        <v>97.301055475244553</v>
      </c>
      <c r="O34" s="2">
        <v>25</v>
      </c>
      <c r="P34" s="2">
        <v>45.606998421703587</v>
      </c>
      <c r="Q34" s="2">
        <f t="shared" si="2"/>
        <v>52.701879359876543</v>
      </c>
    </row>
    <row r="35" spans="1:17" x14ac:dyDescent="0.25">
      <c r="A35" s="2">
        <v>262</v>
      </c>
      <c r="B35" s="2">
        <v>99.005385010426323</v>
      </c>
      <c r="C35" s="2">
        <v>345</v>
      </c>
      <c r="D35" s="2">
        <v>39.850473439737343</v>
      </c>
      <c r="E35" s="2">
        <f t="shared" si="0"/>
        <v>53.17383711677958</v>
      </c>
      <c r="G35" s="2">
        <v>170</v>
      </c>
      <c r="H35" s="2">
        <v>59.08929431882418</v>
      </c>
      <c r="I35" s="2">
        <v>145</v>
      </c>
      <c r="J35" s="2">
        <v>28.484049437746759</v>
      </c>
      <c r="K35" s="2">
        <f t="shared" si="1"/>
        <v>45.285893575385472</v>
      </c>
      <c r="M35" s="2">
        <v>204</v>
      </c>
      <c r="N35" s="2">
        <v>89.855418852707928</v>
      </c>
      <c r="O35" s="2">
        <v>154</v>
      </c>
      <c r="P35" s="2">
        <v>48.9452760277563</v>
      </c>
      <c r="Q35" s="2">
        <f t="shared" si="2"/>
        <v>52.701879359876543</v>
      </c>
    </row>
    <row r="36" spans="1:17" x14ac:dyDescent="0.25">
      <c r="A36" s="2">
        <v>175</v>
      </c>
      <c r="B36" s="2">
        <v>64.517279040944985</v>
      </c>
      <c r="C36" s="2">
        <v>107</v>
      </c>
      <c r="D36" s="2">
        <v>41.038292303562983</v>
      </c>
      <c r="E36" s="2">
        <f t="shared" si="0"/>
        <v>53.17383711677958</v>
      </c>
      <c r="G36" s="2">
        <v>175</v>
      </c>
      <c r="H36" s="2">
        <v>64.517279040944985</v>
      </c>
      <c r="I36" s="2">
        <v>20</v>
      </c>
      <c r="J36" s="2">
        <v>29.122914019804188</v>
      </c>
      <c r="K36" s="2">
        <f t="shared" si="1"/>
        <v>45.285893575385472</v>
      </c>
      <c r="M36" s="2">
        <v>164</v>
      </c>
      <c r="N36" s="2">
        <v>53.577468407475848</v>
      </c>
      <c r="O36" s="2">
        <v>96</v>
      </c>
      <c r="P36" s="2">
        <v>49.379559636439083</v>
      </c>
      <c r="Q36" s="2">
        <f t="shared" si="2"/>
        <v>52.701879359876543</v>
      </c>
    </row>
    <row r="37" spans="1:17" x14ac:dyDescent="0.25">
      <c r="A37" s="2">
        <v>120</v>
      </c>
      <c r="B37" s="2">
        <v>53.934224191565072</v>
      </c>
      <c r="C37" s="2">
        <v>40</v>
      </c>
      <c r="D37" s="2">
        <v>44.015249373960131</v>
      </c>
      <c r="E37" s="2">
        <f t="shared" si="0"/>
        <v>53.17383711677958</v>
      </c>
      <c r="G37" s="2">
        <v>180</v>
      </c>
      <c r="H37" s="2">
        <v>13.75209441459933</v>
      </c>
      <c r="I37" s="2">
        <v>270</v>
      </c>
      <c r="J37" s="2">
        <v>29.359184426449339</v>
      </c>
      <c r="K37" s="2">
        <f t="shared" si="1"/>
        <v>45.285893575385472</v>
      </c>
      <c r="M37" s="2">
        <v>174</v>
      </c>
      <c r="N37" s="2">
        <v>22.649577519793791</v>
      </c>
      <c r="O37" s="2">
        <v>42</v>
      </c>
      <c r="P37" s="2">
        <v>49.51769101112702</v>
      </c>
      <c r="Q37" s="2">
        <f t="shared" si="2"/>
        <v>52.701879359876543</v>
      </c>
    </row>
    <row r="38" spans="1:17" x14ac:dyDescent="0.25">
      <c r="A38" s="2">
        <v>245</v>
      </c>
      <c r="B38" s="2">
        <v>1.5456616528867431</v>
      </c>
      <c r="C38" s="2">
        <v>307</v>
      </c>
      <c r="D38" s="2">
        <v>51.630034830119527</v>
      </c>
      <c r="E38" s="2">
        <f t="shared" si="0"/>
        <v>53.17383711677958</v>
      </c>
      <c r="G38" s="2">
        <v>185</v>
      </c>
      <c r="H38" s="2">
        <v>25.794162771515559</v>
      </c>
      <c r="I38" s="2">
        <v>85</v>
      </c>
      <c r="J38" s="2">
        <v>31.09823217156622</v>
      </c>
      <c r="K38" s="2">
        <f t="shared" si="1"/>
        <v>45.285893575385472</v>
      </c>
      <c r="M38" s="2">
        <v>218</v>
      </c>
      <c r="N38" s="2">
        <v>74.649140511802415</v>
      </c>
      <c r="O38" s="2">
        <v>276</v>
      </c>
      <c r="P38" s="2">
        <v>50.15162946871996</v>
      </c>
      <c r="Q38" s="2">
        <f t="shared" si="2"/>
        <v>52.701879359876543</v>
      </c>
    </row>
    <row r="39" spans="1:17" x14ac:dyDescent="0.25">
      <c r="A39" s="2">
        <v>249</v>
      </c>
      <c r="B39" s="2">
        <v>96.361997708925287</v>
      </c>
      <c r="C39" s="2">
        <v>97</v>
      </c>
      <c r="D39" s="2">
        <v>52.273282938199408</v>
      </c>
      <c r="E39" s="2">
        <f t="shared" si="0"/>
        <v>53.17383711677958</v>
      </c>
      <c r="G39" s="2">
        <v>190</v>
      </c>
      <c r="H39" s="2">
        <v>24.185229090045169</v>
      </c>
      <c r="I39" s="2">
        <v>60</v>
      </c>
      <c r="J39" s="2">
        <v>32.533033076326433</v>
      </c>
      <c r="K39" s="2">
        <f t="shared" si="1"/>
        <v>45.285893575385472</v>
      </c>
      <c r="M39" s="2">
        <v>165</v>
      </c>
      <c r="N39" s="2">
        <v>9.0289770054408294</v>
      </c>
      <c r="O39" s="2">
        <v>173</v>
      </c>
      <c r="P39" s="2">
        <v>51.209305829928098</v>
      </c>
      <c r="Q39" s="2">
        <f t="shared" si="2"/>
        <v>52.701879359876543</v>
      </c>
    </row>
    <row r="40" spans="1:17" x14ac:dyDescent="0.25">
      <c r="A40" s="2">
        <v>270</v>
      </c>
      <c r="B40" s="2">
        <v>29.359184426449339</v>
      </c>
      <c r="C40" s="2">
        <v>18</v>
      </c>
      <c r="D40" s="2">
        <v>52.475643163223793</v>
      </c>
      <c r="E40" s="2">
        <f t="shared" si="0"/>
        <v>53.17383711677958</v>
      </c>
      <c r="G40" s="2">
        <v>195</v>
      </c>
      <c r="H40" s="2">
        <v>33.90297910487007</v>
      </c>
      <c r="I40" s="2">
        <v>195</v>
      </c>
      <c r="J40" s="2">
        <v>33.90297910487007</v>
      </c>
      <c r="K40" s="2">
        <f t="shared" si="1"/>
        <v>45.285893575385472</v>
      </c>
      <c r="M40" s="2">
        <v>212</v>
      </c>
      <c r="N40" s="2">
        <v>69.189519769269324</v>
      </c>
      <c r="O40" s="2">
        <v>97</v>
      </c>
      <c r="P40" s="2">
        <v>52.273282938199408</v>
      </c>
      <c r="Q40" s="2">
        <f t="shared" si="2"/>
        <v>52.701879359876543</v>
      </c>
    </row>
    <row r="41" spans="1:17" x14ac:dyDescent="0.25">
      <c r="A41" s="2">
        <v>285</v>
      </c>
      <c r="B41" s="2">
        <v>57.828014099617398</v>
      </c>
      <c r="C41" s="2">
        <v>120</v>
      </c>
      <c r="D41" s="2">
        <v>53.934224191565072</v>
      </c>
      <c r="E41" s="2">
        <f t="shared" si="0"/>
        <v>53.17383711677958</v>
      </c>
      <c r="G41" s="2">
        <v>200</v>
      </c>
      <c r="H41" s="2">
        <v>77.987554585762382</v>
      </c>
      <c r="I41" s="2">
        <v>395</v>
      </c>
      <c r="J41" s="2">
        <v>34.080354025301787</v>
      </c>
      <c r="K41" s="2">
        <f t="shared" si="1"/>
        <v>45.285893575385472</v>
      </c>
      <c r="M41" s="2">
        <v>219</v>
      </c>
      <c r="N41" s="2">
        <v>64.963289904721464</v>
      </c>
      <c r="O41" s="2">
        <v>18</v>
      </c>
      <c r="P41" s="2">
        <v>52.475643163223793</v>
      </c>
      <c r="Q41" s="2">
        <f t="shared" si="2"/>
        <v>52.701879359876543</v>
      </c>
    </row>
    <row r="42" spans="1:17" x14ac:dyDescent="0.25">
      <c r="A42" s="2">
        <v>124</v>
      </c>
      <c r="B42" s="2">
        <v>11.00519245276768</v>
      </c>
      <c r="C42" s="2">
        <v>211</v>
      </c>
      <c r="D42" s="2">
        <v>54.873378936658611</v>
      </c>
      <c r="E42" s="2">
        <f t="shared" si="0"/>
        <v>53.17383711677958</v>
      </c>
      <c r="G42" s="2">
        <v>205</v>
      </c>
      <c r="H42" s="2">
        <v>60.642905965959002</v>
      </c>
      <c r="I42" s="2">
        <v>345</v>
      </c>
      <c r="J42" s="2">
        <v>39.850473439737343</v>
      </c>
      <c r="K42" s="2">
        <f t="shared" si="1"/>
        <v>45.285893575385472</v>
      </c>
      <c r="M42" s="2">
        <v>172</v>
      </c>
      <c r="N42" s="2">
        <v>1.658782892785615</v>
      </c>
      <c r="O42" s="2">
        <v>164</v>
      </c>
      <c r="P42" s="2">
        <v>53.577468407475848</v>
      </c>
      <c r="Q42" s="2">
        <f t="shared" si="2"/>
        <v>52.701879359876543</v>
      </c>
    </row>
    <row r="43" spans="1:17" x14ac:dyDescent="0.25">
      <c r="A43" s="2">
        <v>210</v>
      </c>
      <c r="B43" s="2">
        <v>16.08080514174987</v>
      </c>
      <c r="C43" s="2">
        <v>360</v>
      </c>
      <c r="D43" s="2">
        <v>57.547417787587896</v>
      </c>
      <c r="E43" s="2">
        <f t="shared" si="0"/>
        <v>53.17383711677958</v>
      </c>
      <c r="G43" s="2">
        <v>210</v>
      </c>
      <c r="H43" s="2">
        <v>16.08080514174987</v>
      </c>
      <c r="I43" s="2">
        <v>40</v>
      </c>
      <c r="J43" s="2">
        <v>44.015249373960131</v>
      </c>
      <c r="K43" s="2">
        <f t="shared" si="1"/>
        <v>45.285893575385472</v>
      </c>
      <c r="M43" s="2">
        <v>199</v>
      </c>
      <c r="N43" s="2">
        <v>88.70864242651173</v>
      </c>
      <c r="O43" s="2">
        <v>120</v>
      </c>
      <c r="P43" s="2">
        <v>53.934224191565072</v>
      </c>
      <c r="Q43" s="2">
        <f t="shared" si="2"/>
        <v>52.701879359876543</v>
      </c>
    </row>
    <row r="44" spans="1:17" x14ac:dyDescent="0.25">
      <c r="A44" s="2">
        <v>294</v>
      </c>
      <c r="B44" s="2">
        <v>36.019064141126293</v>
      </c>
      <c r="C44" s="2">
        <v>285</v>
      </c>
      <c r="D44" s="2">
        <v>57.828014099617398</v>
      </c>
      <c r="E44" s="2">
        <f t="shared" si="0"/>
        <v>53.17383711677958</v>
      </c>
      <c r="G44" s="2">
        <v>215</v>
      </c>
      <c r="H44" s="2">
        <v>71.217922134753593</v>
      </c>
      <c r="I44" s="2">
        <v>25</v>
      </c>
      <c r="J44" s="2">
        <v>45.606998421703587</v>
      </c>
      <c r="K44" s="2">
        <f t="shared" si="1"/>
        <v>45.285893575385472</v>
      </c>
      <c r="M44" s="2">
        <v>190</v>
      </c>
      <c r="N44" s="2">
        <v>24.185229090045169</v>
      </c>
      <c r="O44" s="2">
        <v>66</v>
      </c>
      <c r="P44" s="2">
        <v>54.269608315824847</v>
      </c>
      <c r="Q44" s="2">
        <f t="shared" si="2"/>
        <v>52.701879359876543</v>
      </c>
    </row>
    <row r="45" spans="1:17" x14ac:dyDescent="0.25">
      <c r="A45" s="2">
        <v>37</v>
      </c>
      <c r="B45" s="2">
        <v>30.46137691733707</v>
      </c>
      <c r="C45" s="2">
        <v>31</v>
      </c>
      <c r="D45" s="2">
        <v>60.754485190143839</v>
      </c>
      <c r="E45" s="2">
        <f t="shared" si="0"/>
        <v>53.17383711677958</v>
      </c>
      <c r="G45" s="2">
        <v>220</v>
      </c>
      <c r="H45" s="2">
        <v>84.922341049417795</v>
      </c>
      <c r="I45" s="2">
        <v>90</v>
      </c>
      <c r="J45" s="2">
        <v>47.221492516194928</v>
      </c>
      <c r="K45" s="2">
        <f t="shared" si="1"/>
        <v>45.285893575385472</v>
      </c>
      <c r="M45" s="2">
        <v>163</v>
      </c>
      <c r="N45" s="2">
        <v>63.352971076089467</v>
      </c>
      <c r="O45" s="2">
        <v>49</v>
      </c>
      <c r="P45" s="2">
        <v>54.671027934327967</v>
      </c>
      <c r="Q45" s="2">
        <f t="shared" si="2"/>
        <v>52.701879359876543</v>
      </c>
    </row>
    <row r="46" spans="1:17" x14ac:dyDescent="0.25">
      <c r="A46" s="2">
        <v>97</v>
      </c>
      <c r="B46" s="2">
        <v>52.273282938199408</v>
      </c>
      <c r="C46" s="2">
        <v>328</v>
      </c>
      <c r="D46" s="2">
        <v>61.172074623435222</v>
      </c>
      <c r="E46" s="2">
        <f t="shared" si="0"/>
        <v>53.17383711677958</v>
      </c>
      <c r="G46" s="2">
        <v>225</v>
      </c>
      <c r="H46" s="2">
        <v>26.520236768172541</v>
      </c>
      <c r="I46" s="2">
        <v>130</v>
      </c>
      <c r="J46" s="2">
        <v>51.07473025775657</v>
      </c>
      <c r="K46" s="2">
        <f t="shared" si="1"/>
        <v>45.285893575385472</v>
      </c>
      <c r="M46" s="2">
        <v>176</v>
      </c>
      <c r="N46" s="2">
        <v>17.436642900499141</v>
      </c>
      <c r="O46" s="2">
        <v>94</v>
      </c>
      <c r="P46" s="2">
        <v>56.127719756949617</v>
      </c>
      <c r="Q46" s="2">
        <f t="shared" si="2"/>
        <v>52.701879359876543</v>
      </c>
    </row>
    <row r="47" spans="1:17" x14ac:dyDescent="0.25">
      <c r="A47" s="2">
        <v>328</v>
      </c>
      <c r="B47" s="2">
        <v>61.172074623435222</v>
      </c>
      <c r="C47" s="2">
        <v>346</v>
      </c>
      <c r="D47" s="2">
        <v>61.585009805221652</v>
      </c>
      <c r="E47" s="2">
        <f t="shared" si="0"/>
        <v>53.17383711677958</v>
      </c>
      <c r="G47" s="2">
        <v>230</v>
      </c>
      <c r="H47" s="2">
        <v>63.113862599726289</v>
      </c>
      <c r="I47" s="2">
        <v>275</v>
      </c>
      <c r="J47" s="2">
        <v>51.134239886093781</v>
      </c>
      <c r="K47" s="2">
        <f t="shared" si="1"/>
        <v>45.285893575385472</v>
      </c>
      <c r="M47" s="2">
        <v>173</v>
      </c>
      <c r="N47" s="2">
        <v>51.209305829928098</v>
      </c>
      <c r="O47" s="2">
        <v>163</v>
      </c>
      <c r="P47" s="2">
        <v>63.352971076089467</v>
      </c>
      <c r="Q47" s="2">
        <f t="shared" si="2"/>
        <v>52.701879359876543</v>
      </c>
    </row>
    <row r="48" spans="1:17" x14ac:dyDescent="0.25">
      <c r="A48" s="2">
        <v>128</v>
      </c>
      <c r="B48" s="2">
        <v>86.073058325634349</v>
      </c>
      <c r="C48" s="2">
        <v>383</v>
      </c>
      <c r="D48" s="2">
        <v>62.894284677988402</v>
      </c>
      <c r="E48" s="2">
        <f t="shared" si="0"/>
        <v>53.17383711677958</v>
      </c>
      <c r="G48" s="2">
        <v>235</v>
      </c>
      <c r="H48" s="2">
        <v>19.52429877980445</v>
      </c>
      <c r="I48" s="2">
        <v>120</v>
      </c>
      <c r="J48" s="2">
        <v>53.934224191565072</v>
      </c>
      <c r="K48" s="2">
        <f t="shared" si="1"/>
        <v>45.285893575385472</v>
      </c>
      <c r="M48" s="2">
        <v>192</v>
      </c>
      <c r="N48" s="2">
        <v>89.721575795332669</v>
      </c>
      <c r="O48" s="2">
        <v>219</v>
      </c>
      <c r="P48" s="2">
        <v>64.963289904721464</v>
      </c>
      <c r="Q48" s="2">
        <f t="shared" si="2"/>
        <v>52.701879359876543</v>
      </c>
    </row>
    <row r="49" spans="1:17" x14ac:dyDescent="0.25">
      <c r="A49" s="2">
        <v>68</v>
      </c>
      <c r="B49" s="2">
        <v>80.219698075403969</v>
      </c>
      <c r="C49" s="2">
        <v>88</v>
      </c>
      <c r="D49" s="2">
        <v>63.755747135521311</v>
      </c>
      <c r="E49" s="2">
        <f t="shared" si="0"/>
        <v>53.17383711677958</v>
      </c>
      <c r="G49" s="2">
        <v>240</v>
      </c>
      <c r="H49" s="2">
        <v>17.71106794070489</v>
      </c>
      <c r="I49" s="2">
        <v>360</v>
      </c>
      <c r="J49" s="2">
        <v>57.547417787587896</v>
      </c>
      <c r="K49" s="2">
        <f t="shared" si="1"/>
        <v>45.285893575385472</v>
      </c>
      <c r="M49" s="2">
        <v>231</v>
      </c>
      <c r="N49" s="2">
        <v>79.481130354164847</v>
      </c>
      <c r="O49" s="2">
        <v>353</v>
      </c>
      <c r="P49" s="2">
        <v>65.869363161894498</v>
      </c>
      <c r="Q49" s="2">
        <f t="shared" si="2"/>
        <v>52.701879359876543</v>
      </c>
    </row>
    <row r="50" spans="1:17" x14ac:dyDescent="0.25">
      <c r="A50" s="2">
        <v>40</v>
      </c>
      <c r="B50" s="2">
        <v>44.015249373960131</v>
      </c>
      <c r="C50" s="2">
        <v>175</v>
      </c>
      <c r="D50" s="2">
        <v>64.517279040944985</v>
      </c>
      <c r="E50" s="2">
        <f t="shared" si="0"/>
        <v>53.17383711677958</v>
      </c>
      <c r="G50" s="2">
        <v>245</v>
      </c>
      <c r="H50" s="2">
        <v>1.5456616528867431</v>
      </c>
      <c r="I50" s="2">
        <v>285</v>
      </c>
      <c r="J50" s="2">
        <v>57.828014099617398</v>
      </c>
      <c r="K50" s="2">
        <f t="shared" si="1"/>
        <v>45.285893575385472</v>
      </c>
      <c r="M50" s="2">
        <v>319</v>
      </c>
      <c r="N50" s="2">
        <v>15.64370426710861</v>
      </c>
      <c r="O50" s="2">
        <v>323</v>
      </c>
      <c r="P50" s="2">
        <v>66.019737671773129</v>
      </c>
      <c r="Q50" s="2">
        <f t="shared" si="2"/>
        <v>52.701879359876543</v>
      </c>
    </row>
    <row r="51" spans="1:17" x14ac:dyDescent="0.25">
      <c r="A51" s="2">
        <v>135</v>
      </c>
      <c r="B51" s="2">
        <v>94.290970391251918</v>
      </c>
      <c r="C51" s="2">
        <v>278</v>
      </c>
      <c r="D51" s="2">
        <v>64.996393077776517</v>
      </c>
      <c r="E51" s="2">
        <f t="shared" si="0"/>
        <v>53.17383711677958</v>
      </c>
      <c r="G51" s="2">
        <v>250</v>
      </c>
      <c r="H51" s="2">
        <v>85.300945546736003</v>
      </c>
      <c r="I51" s="2">
        <v>290</v>
      </c>
      <c r="J51" s="2">
        <v>59.083326056901072</v>
      </c>
      <c r="K51" s="2">
        <f t="shared" si="1"/>
        <v>45.285893575385472</v>
      </c>
      <c r="M51" s="2">
        <v>249</v>
      </c>
      <c r="N51" s="2">
        <v>96.361997708925287</v>
      </c>
      <c r="O51" s="2">
        <v>46</v>
      </c>
      <c r="P51" s="2">
        <v>66.252228435398195</v>
      </c>
      <c r="Q51" s="2">
        <f t="shared" si="2"/>
        <v>52.701879359876543</v>
      </c>
    </row>
    <row r="52" spans="1:17" x14ac:dyDescent="0.25">
      <c r="A52" s="2">
        <v>183</v>
      </c>
      <c r="B52" s="2">
        <v>92.469361827856275</v>
      </c>
      <c r="C52" s="2">
        <v>353</v>
      </c>
      <c r="D52" s="2">
        <v>65.869363161894498</v>
      </c>
      <c r="E52" s="2">
        <f t="shared" si="0"/>
        <v>53.17383711677958</v>
      </c>
      <c r="G52" s="2">
        <v>255</v>
      </c>
      <c r="H52" s="2">
        <v>16.949274668609249</v>
      </c>
      <c r="I52" s="2">
        <v>170</v>
      </c>
      <c r="J52" s="2">
        <v>59.08929431882418</v>
      </c>
      <c r="K52" s="2">
        <f t="shared" si="1"/>
        <v>45.285893575385472</v>
      </c>
      <c r="M52" s="2">
        <v>251</v>
      </c>
      <c r="N52" s="2">
        <v>29.444889206958571</v>
      </c>
      <c r="O52" s="2">
        <v>374</v>
      </c>
      <c r="P52" s="2">
        <v>68.300677341635691</v>
      </c>
      <c r="Q52" s="2">
        <f t="shared" si="2"/>
        <v>52.701879359876543</v>
      </c>
    </row>
    <row r="53" spans="1:17" x14ac:dyDescent="0.25">
      <c r="A53" s="2">
        <v>179</v>
      </c>
      <c r="B53" s="2">
        <v>93.67299887367345</v>
      </c>
      <c r="C53" s="2">
        <v>305</v>
      </c>
      <c r="D53" s="2">
        <v>72.609133372266157</v>
      </c>
      <c r="E53" s="2">
        <f t="shared" si="0"/>
        <v>53.17383711677958</v>
      </c>
      <c r="G53" s="2">
        <v>260</v>
      </c>
      <c r="H53" s="2">
        <v>9.7176493770768531</v>
      </c>
      <c r="I53" s="2">
        <v>55</v>
      </c>
      <c r="J53" s="2">
        <v>59.789997881108512</v>
      </c>
      <c r="K53" s="2">
        <f t="shared" si="1"/>
        <v>45.285893575385472</v>
      </c>
      <c r="M53" s="2">
        <v>255</v>
      </c>
      <c r="N53" s="2">
        <v>16.949274668609249</v>
      </c>
      <c r="O53" s="2">
        <v>212</v>
      </c>
      <c r="P53" s="2">
        <v>69.189519769269324</v>
      </c>
      <c r="Q53" s="2">
        <f t="shared" si="2"/>
        <v>52.701879359876543</v>
      </c>
    </row>
    <row r="54" spans="1:17" x14ac:dyDescent="0.25">
      <c r="A54" s="2">
        <v>121</v>
      </c>
      <c r="B54" s="2">
        <v>80.74401551640625</v>
      </c>
      <c r="C54" s="2">
        <v>108</v>
      </c>
      <c r="D54" s="2">
        <v>75.555113854304864</v>
      </c>
      <c r="E54" s="2">
        <f t="shared" si="0"/>
        <v>53.17383711677958</v>
      </c>
      <c r="G54" s="2">
        <v>265</v>
      </c>
      <c r="H54" s="2">
        <v>87.737307192795541</v>
      </c>
      <c r="I54" s="2">
        <v>205</v>
      </c>
      <c r="J54" s="2">
        <v>60.642905965959002</v>
      </c>
      <c r="K54" s="2">
        <f t="shared" si="1"/>
        <v>45.285893575385472</v>
      </c>
      <c r="M54" s="2">
        <v>246</v>
      </c>
      <c r="N54" s="2">
        <v>92.831856258772532</v>
      </c>
      <c r="O54" s="2">
        <v>267</v>
      </c>
      <c r="P54" s="2">
        <v>69.701574099526795</v>
      </c>
      <c r="Q54" s="2">
        <f t="shared" si="2"/>
        <v>52.701879359876543</v>
      </c>
    </row>
    <row r="55" spans="1:17" x14ac:dyDescent="0.25">
      <c r="A55" s="2">
        <v>319</v>
      </c>
      <c r="B55" s="2">
        <v>15.64370426710861</v>
      </c>
      <c r="C55" s="2">
        <v>77</v>
      </c>
      <c r="D55" s="2">
        <v>77.127034668594575</v>
      </c>
      <c r="E55" s="2">
        <f t="shared" si="0"/>
        <v>53.17383711677958</v>
      </c>
      <c r="G55" s="2">
        <v>270</v>
      </c>
      <c r="H55" s="2">
        <v>29.359184426449339</v>
      </c>
      <c r="I55" s="2">
        <v>350</v>
      </c>
      <c r="J55" s="2">
        <v>62.585991571423641</v>
      </c>
      <c r="K55" s="2">
        <f t="shared" si="1"/>
        <v>45.285893575385472</v>
      </c>
      <c r="M55" s="2">
        <v>312</v>
      </c>
      <c r="N55" s="2">
        <v>7.8456381342265953</v>
      </c>
      <c r="O55" s="2">
        <v>218</v>
      </c>
      <c r="P55" s="2">
        <v>74.649140511802415</v>
      </c>
      <c r="Q55" s="2">
        <f t="shared" si="2"/>
        <v>52.701879359876543</v>
      </c>
    </row>
    <row r="56" spans="1:17" x14ac:dyDescent="0.25">
      <c r="A56" s="2">
        <v>140</v>
      </c>
      <c r="B56" s="2">
        <v>97.178208272096072</v>
      </c>
      <c r="C56" s="2">
        <v>71</v>
      </c>
      <c r="D56" s="2">
        <v>77.224476929665741</v>
      </c>
      <c r="E56" s="2">
        <f t="shared" si="0"/>
        <v>53.17383711677958</v>
      </c>
      <c r="G56" s="2">
        <v>275</v>
      </c>
      <c r="H56" s="2">
        <v>51.134239886093781</v>
      </c>
      <c r="I56" s="2">
        <v>230</v>
      </c>
      <c r="J56" s="2">
        <v>63.113862599726289</v>
      </c>
      <c r="K56" s="2">
        <f t="shared" si="1"/>
        <v>45.285893575385472</v>
      </c>
      <c r="M56" s="2">
        <v>281</v>
      </c>
      <c r="N56" s="2">
        <v>89.000534181756635</v>
      </c>
      <c r="O56" s="2">
        <v>231</v>
      </c>
      <c r="P56" s="2">
        <v>79.481130354164847</v>
      </c>
      <c r="Q56" s="2">
        <f t="shared" si="2"/>
        <v>52.701879359876543</v>
      </c>
    </row>
    <row r="57" spans="1:17" x14ac:dyDescent="0.25">
      <c r="A57" s="2">
        <v>298</v>
      </c>
      <c r="B57" s="2">
        <v>21.582102749684321</v>
      </c>
      <c r="C57" s="2">
        <v>231</v>
      </c>
      <c r="D57" s="2">
        <v>79.481130354164847</v>
      </c>
      <c r="E57" s="2">
        <f t="shared" si="0"/>
        <v>53.17383711677958</v>
      </c>
      <c r="G57" s="2">
        <v>280</v>
      </c>
      <c r="H57" s="2">
        <v>79.579266943610108</v>
      </c>
      <c r="I57" s="2">
        <v>115</v>
      </c>
      <c r="J57" s="2">
        <v>63.340375651042343</v>
      </c>
      <c r="K57" s="2">
        <f t="shared" si="1"/>
        <v>45.285893575385472</v>
      </c>
      <c r="M57" s="2">
        <v>283</v>
      </c>
      <c r="N57" s="2">
        <v>37.558295263994403</v>
      </c>
      <c r="O57" s="2">
        <v>121</v>
      </c>
      <c r="P57" s="2">
        <v>80.74401551640625</v>
      </c>
      <c r="Q57" s="2">
        <f t="shared" si="2"/>
        <v>52.701879359876543</v>
      </c>
    </row>
    <row r="58" spans="1:17" x14ac:dyDescent="0.25">
      <c r="A58" s="2">
        <v>354</v>
      </c>
      <c r="B58" s="2">
        <v>16.293442708142969</v>
      </c>
      <c r="C58" s="2">
        <v>309</v>
      </c>
      <c r="D58" s="2">
        <v>79.51861947687037</v>
      </c>
      <c r="E58" s="2">
        <f t="shared" si="0"/>
        <v>53.17383711677958</v>
      </c>
      <c r="G58" s="2">
        <v>285</v>
      </c>
      <c r="H58" s="2">
        <v>57.828014099617398</v>
      </c>
      <c r="I58" s="2">
        <v>175</v>
      </c>
      <c r="J58" s="2">
        <v>64.517279040944985</v>
      </c>
      <c r="K58" s="2">
        <f t="shared" si="1"/>
        <v>45.285893575385472</v>
      </c>
      <c r="M58" s="2">
        <v>276</v>
      </c>
      <c r="N58" s="2">
        <v>50.15162946871996</v>
      </c>
      <c r="O58" s="2">
        <v>114</v>
      </c>
      <c r="P58" s="2">
        <v>80.812037956441699</v>
      </c>
      <c r="Q58" s="2">
        <f t="shared" si="2"/>
        <v>52.701879359876543</v>
      </c>
    </row>
    <row r="59" spans="1:17" x14ac:dyDescent="0.25">
      <c r="A59" s="2">
        <v>108</v>
      </c>
      <c r="B59" s="2">
        <v>75.555113854304864</v>
      </c>
      <c r="C59" s="2">
        <v>68</v>
      </c>
      <c r="D59" s="2">
        <v>80.219698075403969</v>
      </c>
      <c r="E59" s="2">
        <f t="shared" si="0"/>
        <v>53.17383711677958</v>
      </c>
      <c r="G59" s="2">
        <v>290</v>
      </c>
      <c r="H59" s="2">
        <v>59.083326056901072</v>
      </c>
      <c r="I59" s="2">
        <v>75</v>
      </c>
      <c r="J59" s="2">
        <v>70.685734384761716</v>
      </c>
      <c r="K59" s="2">
        <f t="shared" si="1"/>
        <v>45.285893575385472</v>
      </c>
      <c r="M59" s="2">
        <v>257</v>
      </c>
      <c r="N59" s="2">
        <v>93.615477416078093</v>
      </c>
      <c r="O59" s="2">
        <v>36</v>
      </c>
      <c r="P59" s="2">
        <v>80.83973481164611</v>
      </c>
      <c r="Q59" s="2">
        <f t="shared" si="2"/>
        <v>52.701879359876543</v>
      </c>
    </row>
    <row r="60" spans="1:17" x14ac:dyDescent="0.25">
      <c r="A60" s="2">
        <v>271</v>
      </c>
      <c r="B60" s="2">
        <v>80.936115547851358</v>
      </c>
      <c r="C60" s="2">
        <v>121</v>
      </c>
      <c r="D60" s="2">
        <v>80.74401551640625</v>
      </c>
      <c r="E60" s="2">
        <f t="shared" si="0"/>
        <v>53.17383711677958</v>
      </c>
      <c r="G60" s="2">
        <v>295</v>
      </c>
      <c r="H60" s="2">
        <v>12.70605126518848</v>
      </c>
      <c r="I60" s="2">
        <v>10</v>
      </c>
      <c r="J60" s="2">
        <v>70.807257779604555</v>
      </c>
      <c r="K60" s="2">
        <f t="shared" si="1"/>
        <v>45.285893575385472</v>
      </c>
      <c r="M60" s="2">
        <v>270</v>
      </c>
      <c r="N60" s="2">
        <v>29.359184426449339</v>
      </c>
      <c r="O60" s="2">
        <v>271</v>
      </c>
      <c r="P60" s="2">
        <v>80.936115547851358</v>
      </c>
      <c r="Q60" s="2">
        <f t="shared" si="2"/>
        <v>52.701879359876543</v>
      </c>
    </row>
    <row r="61" spans="1:17" x14ac:dyDescent="0.25">
      <c r="A61" s="2">
        <v>176</v>
      </c>
      <c r="B61" s="2">
        <v>17.436642900499141</v>
      </c>
      <c r="C61" s="2">
        <v>271</v>
      </c>
      <c r="D61" s="2">
        <v>80.936115547851358</v>
      </c>
      <c r="E61" s="2">
        <f t="shared" si="0"/>
        <v>53.17383711677958</v>
      </c>
      <c r="G61" s="2">
        <v>300</v>
      </c>
      <c r="H61" s="2">
        <v>8.5347464993767996</v>
      </c>
      <c r="I61" s="2">
        <v>215</v>
      </c>
      <c r="J61" s="2">
        <v>71.217922134753593</v>
      </c>
      <c r="K61" s="2">
        <f t="shared" si="1"/>
        <v>45.285893575385472</v>
      </c>
      <c r="M61" s="2">
        <v>271</v>
      </c>
      <c r="N61" s="2">
        <v>80.936115547851358</v>
      </c>
      <c r="O61" s="2">
        <v>377</v>
      </c>
      <c r="P61" s="2">
        <v>84.48753109694546</v>
      </c>
      <c r="Q61" s="2">
        <f t="shared" si="2"/>
        <v>52.701879359876543</v>
      </c>
    </row>
    <row r="62" spans="1:17" x14ac:dyDescent="0.25">
      <c r="A62" s="2">
        <v>257</v>
      </c>
      <c r="B62" s="2">
        <v>93.615477416078093</v>
      </c>
      <c r="C62" s="2">
        <v>293</v>
      </c>
      <c r="D62" s="2">
        <v>82.260056065965827</v>
      </c>
      <c r="E62" s="2">
        <f t="shared" si="0"/>
        <v>53.17383711677958</v>
      </c>
      <c r="G62" s="2">
        <v>305</v>
      </c>
      <c r="H62" s="2">
        <v>72.609133372266157</v>
      </c>
      <c r="I62" s="2">
        <v>305</v>
      </c>
      <c r="J62" s="2">
        <v>72.609133372266157</v>
      </c>
      <c r="K62" s="2">
        <f t="shared" si="1"/>
        <v>45.285893575385472</v>
      </c>
      <c r="M62" s="2">
        <v>267</v>
      </c>
      <c r="N62" s="2">
        <v>69.701574099526795</v>
      </c>
      <c r="O62" s="2">
        <v>253</v>
      </c>
      <c r="P62" s="2">
        <v>85.113667151685689</v>
      </c>
      <c r="Q62" s="2">
        <f t="shared" si="2"/>
        <v>52.701879359876543</v>
      </c>
    </row>
    <row r="63" spans="1:17" x14ac:dyDescent="0.25">
      <c r="A63" s="2">
        <v>383</v>
      </c>
      <c r="B63" s="2">
        <v>62.894284677988402</v>
      </c>
      <c r="C63" s="2">
        <v>13</v>
      </c>
      <c r="D63" s="2">
        <v>83.244264080042171</v>
      </c>
      <c r="E63" s="2">
        <f t="shared" si="0"/>
        <v>53.17383711677958</v>
      </c>
      <c r="G63" s="2">
        <v>310</v>
      </c>
      <c r="H63" s="2">
        <v>27.08322512620742</v>
      </c>
      <c r="I63" s="2">
        <v>160</v>
      </c>
      <c r="J63" s="2">
        <v>72.821634861185956</v>
      </c>
      <c r="K63" s="2">
        <f t="shared" si="1"/>
        <v>45.285893575385472</v>
      </c>
      <c r="M63" s="2">
        <v>242</v>
      </c>
      <c r="N63" s="2">
        <v>95.39285770025873</v>
      </c>
      <c r="O63" s="2">
        <v>397</v>
      </c>
      <c r="P63" s="2">
        <v>85.841275184301182</v>
      </c>
      <c r="Q63" s="2">
        <f t="shared" si="2"/>
        <v>52.701879359876543</v>
      </c>
    </row>
    <row r="64" spans="1:17" x14ac:dyDescent="0.25">
      <c r="A64" s="2">
        <v>67</v>
      </c>
      <c r="B64" s="2">
        <v>14.09242249747626</v>
      </c>
      <c r="C64" s="2">
        <v>250</v>
      </c>
      <c r="D64" s="2">
        <v>85.300945546736003</v>
      </c>
      <c r="E64" s="2">
        <f t="shared" si="0"/>
        <v>53.17383711677958</v>
      </c>
      <c r="G64" s="2">
        <v>315</v>
      </c>
      <c r="H64" s="2">
        <v>83.598012051220579</v>
      </c>
      <c r="I64" s="2">
        <v>385</v>
      </c>
      <c r="J64" s="2">
        <v>73.507104380388583</v>
      </c>
      <c r="K64" s="2">
        <f t="shared" si="1"/>
        <v>45.285893575385472</v>
      </c>
      <c r="M64" s="2">
        <v>252</v>
      </c>
      <c r="N64" s="2">
        <v>38.509772860192527</v>
      </c>
      <c r="O64" s="2">
        <v>81</v>
      </c>
      <c r="P64" s="2">
        <v>86.310342587559347</v>
      </c>
      <c r="Q64" s="2">
        <f t="shared" si="2"/>
        <v>52.701879359876543</v>
      </c>
    </row>
    <row r="65" spans="1:17" x14ac:dyDescent="0.25">
      <c r="A65" s="2">
        <v>293</v>
      </c>
      <c r="B65" s="2">
        <v>82.260056065965827</v>
      </c>
      <c r="C65" s="2">
        <v>128</v>
      </c>
      <c r="D65" s="2">
        <v>86.073058325634349</v>
      </c>
      <c r="E65" s="2">
        <f t="shared" si="0"/>
        <v>53.17383711677958</v>
      </c>
      <c r="G65" s="2">
        <v>320</v>
      </c>
      <c r="H65" s="2">
        <v>25.024289816459529</v>
      </c>
      <c r="I65" s="2">
        <v>400</v>
      </c>
      <c r="J65" s="2">
        <v>75.454287408468232</v>
      </c>
      <c r="K65" s="2">
        <f t="shared" si="1"/>
        <v>45.285893575385472</v>
      </c>
      <c r="M65" s="2">
        <v>253</v>
      </c>
      <c r="N65" s="2">
        <v>85.113667151685689</v>
      </c>
      <c r="O65" s="2">
        <v>384</v>
      </c>
      <c r="P65" s="2">
        <v>87.747201352705289</v>
      </c>
      <c r="Q65" s="2">
        <f t="shared" si="2"/>
        <v>52.701879359876543</v>
      </c>
    </row>
    <row r="66" spans="1:17" x14ac:dyDescent="0.25">
      <c r="A66" s="2">
        <v>13</v>
      </c>
      <c r="B66" s="2">
        <v>83.244264080042171</v>
      </c>
      <c r="C66" s="2">
        <v>199</v>
      </c>
      <c r="D66" s="2">
        <v>88.70864242651173</v>
      </c>
      <c r="E66" s="2">
        <f t="shared" si="0"/>
        <v>53.17383711677958</v>
      </c>
      <c r="G66" s="2">
        <v>325</v>
      </c>
      <c r="H66" s="2">
        <v>95.486528066319408</v>
      </c>
      <c r="I66" s="2">
        <v>95</v>
      </c>
      <c r="J66" s="2">
        <v>77.096717995456103</v>
      </c>
      <c r="K66" s="2">
        <f t="shared" si="1"/>
        <v>45.285893575385472</v>
      </c>
      <c r="M66" s="2">
        <v>369</v>
      </c>
      <c r="N66" s="2">
        <v>19.579113478929639</v>
      </c>
      <c r="O66" s="2">
        <v>199</v>
      </c>
      <c r="P66" s="2">
        <v>88.70864242651173</v>
      </c>
      <c r="Q66" s="2">
        <f t="shared" si="2"/>
        <v>52.701879359876543</v>
      </c>
    </row>
    <row r="67" spans="1:17" x14ac:dyDescent="0.25">
      <c r="A67" s="2">
        <v>226</v>
      </c>
      <c r="B67" s="2">
        <v>24.39896433790836</v>
      </c>
      <c r="C67" s="2">
        <v>89</v>
      </c>
      <c r="D67" s="2">
        <v>88.721274257632658</v>
      </c>
      <c r="E67" s="2">
        <f t="shared" ref="E67:E81" si="3">AVERAGE(B:B)</f>
        <v>53.17383711677958</v>
      </c>
      <c r="G67" s="2">
        <v>330</v>
      </c>
      <c r="H67" s="2">
        <v>24.773098950115749</v>
      </c>
      <c r="I67" s="2">
        <v>200</v>
      </c>
      <c r="J67" s="2">
        <v>77.987554585762382</v>
      </c>
      <c r="K67" s="2">
        <f t="shared" ref="K67:K81" si="4">AVERAGE(H:H)</f>
        <v>45.285893575385472</v>
      </c>
      <c r="M67" s="2">
        <v>333</v>
      </c>
      <c r="N67" s="2">
        <v>1.4393488629755871</v>
      </c>
      <c r="O67" s="2">
        <v>89</v>
      </c>
      <c r="P67" s="2">
        <v>88.721274257632658</v>
      </c>
      <c r="Q67" s="2">
        <f t="shared" ref="Q67:Q81" si="5">AVERAGE(N:N)</f>
        <v>52.701879359876543</v>
      </c>
    </row>
    <row r="68" spans="1:17" x14ac:dyDescent="0.25">
      <c r="A68" s="2">
        <v>309</v>
      </c>
      <c r="B68" s="2">
        <v>79.51861947687037</v>
      </c>
      <c r="C68" s="2">
        <v>281</v>
      </c>
      <c r="D68" s="2">
        <v>89.000534181756635</v>
      </c>
      <c r="E68" s="2">
        <f t="shared" si="3"/>
        <v>53.17383711677958</v>
      </c>
      <c r="G68" s="2">
        <v>335</v>
      </c>
      <c r="H68" s="2">
        <v>4.6002642021752749</v>
      </c>
      <c r="I68" s="2">
        <v>280</v>
      </c>
      <c r="J68" s="2">
        <v>79.579266943610108</v>
      </c>
      <c r="K68" s="2">
        <f t="shared" si="4"/>
        <v>45.285893575385472</v>
      </c>
      <c r="M68" s="2">
        <v>395</v>
      </c>
      <c r="N68" s="2">
        <v>34.080354025301787</v>
      </c>
      <c r="O68" s="2">
        <v>281</v>
      </c>
      <c r="P68" s="2">
        <v>89.000534181756635</v>
      </c>
      <c r="Q68" s="2">
        <f t="shared" si="5"/>
        <v>52.701879359876543</v>
      </c>
    </row>
    <row r="69" spans="1:17" x14ac:dyDescent="0.25">
      <c r="A69" s="2">
        <v>307</v>
      </c>
      <c r="B69" s="2">
        <v>51.630034830119527</v>
      </c>
      <c r="C69" s="2">
        <v>198</v>
      </c>
      <c r="D69" s="2">
        <v>89.711025995257714</v>
      </c>
      <c r="E69" s="2">
        <f t="shared" si="3"/>
        <v>53.17383711677958</v>
      </c>
      <c r="G69" s="2">
        <v>340</v>
      </c>
      <c r="H69" s="2">
        <v>9.7834160651001483</v>
      </c>
      <c r="I69" s="2">
        <v>390</v>
      </c>
      <c r="J69" s="2">
        <v>80.683473926726407</v>
      </c>
      <c r="K69" s="2">
        <f t="shared" si="4"/>
        <v>45.285893575385472</v>
      </c>
      <c r="M69" s="2">
        <v>335</v>
      </c>
      <c r="N69" s="2">
        <v>4.6002642021752749</v>
      </c>
      <c r="O69" s="2">
        <v>54</v>
      </c>
      <c r="P69" s="2">
        <v>89.482735042764887</v>
      </c>
      <c r="Q69" s="2">
        <f t="shared" si="5"/>
        <v>52.701879359876543</v>
      </c>
    </row>
    <row r="70" spans="1:17" x14ac:dyDescent="0.25">
      <c r="A70" s="2">
        <v>291</v>
      </c>
      <c r="B70" s="2">
        <v>3.0500249939049429</v>
      </c>
      <c r="C70" s="2">
        <v>183</v>
      </c>
      <c r="D70" s="2">
        <v>92.469361827856275</v>
      </c>
      <c r="E70" s="2">
        <f t="shared" si="3"/>
        <v>53.17383711677958</v>
      </c>
      <c r="G70" s="2">
        <v>345</v>
      </c>
      <c r="H70" s="2">
        <v>39.850473439737343</v>
      </c>
      <c r="I70" s="2">
        <v>315</v>
      </c>
      <c r="J70" s="2">
        <v>83.598012051220579</v>
      </c>
      <c r="K70" s="2">
        <f t="shared" si="4"/>
        <v>45.285893575385472</v>
      </c>
      <c r="M70" s="2">
        <v>325</v>
      </c>
      <c r="N70" s="2">
        <v>95.486528066319408</v>
      </c>
      <c r="O70" s="2">
        <v>192</v>
      </c>
      <c r="P70" s="2">
        <v>89.721575795332669</v>
      </c>
      <c r="Q70" s="2">
        <f t="shared" si="5"/>
        <v>52.701879359876543</v>
      </c>
    </row>
    <row r="71" spans="1:17" x14ac:dyDescent="0.25">
      <c r="A71" s="2">
        <v>216</v>
      </c>
      <c r="B71" s="2">
        <v>23.724908749680012</v>
      </c>
      <c r="C71" s="2">
        <v>246</v>
      </c>
      <c r="D71" s="2">
        <v>92.831856258772532</v>
      </c>
      <c r="E71" s="2">
        <f t="shared" si="3"/>
        <v>53.17383711677958</v>
      </c>
      <c r="G71" s="2">
        <v>350</v>
      </c>
      <c r="H71" s="2">
        <v>62.585991571423641</v>
      </c>
      <c r="I71" s="2">
        <v>220</v>
      </c>
      <c r="J71" s="2">
        <v>84.922341049417795</v>
      </c>
      <c r="K71" s="2">
        <f t="shared" si="4"/>
        <v>45.285893575385472</v>
      </c>
      <c r="M71" s="2">
        <v>392</v>
      </c>
      <c r="N71" s="2">
        <v>41.261767691142651</v>
      </c>
      <c r="O71" s="2">
        <v>204</v>
      </c>
      <c r="P71" s="2">
        <v>89.855418852707928</v>
      </c>
      <c r="Q71" s="2">
        <f t="shared" si="5"/>
        <v>52.701879359876543</v>
      </c>
    </row>
    <row r="72" spans="1:17" x14ac:dyDescent="0.25">
      <c r="A72" s="2">
        <v>269</v>
      </c>
      <c r="B72" s="2">
        <v>35.949115121975517</v>
      </c>
      <c r="C72" s="2">
        <v>396</v>
      </c>
      <c r="D72" s="2">
        <v>93.075732560356471</v>
      </c>
      <c r="E72" s="2">
        <f t="shared" si="3"/>
        <v>53.17383711677958</v>
      </c>
      <c r="G72" s="2">
        <v>355</v>
      </c>
      <c r="H72" s="2">
        <v>7.0568747400429839</v>
      </c>
      <c r="I72" s="2">
        <v>250</v>
      </c>
      <c r="J72" s="2">
        <v>85.300945546736003</v>
      </c>
      <c r="K72" s="2">
        <f t="shared" si="4"/>
        <v>45.285893575385472</v>
      </c>
      <c r="M72" s="2">
        <v>374</v>
      </c>
      <c r="N72" s="2">
        <v>68.300677341635691</v>
      </c>
      <c r="O72" s="2">
        <v>151</v>
      </c>
      <c r="P72" s="2">
        <v>90.826588596665374</v>
      </c>
      <c r="Q72" s="2">
        <f t="shared" si="5"/>
        <v>52.701879359876543</v>
      </c>
    </row>
    <row r="73" spans="1:17" x14ac:dyDescent="0.25">
      <c r="A73" s="2">
        <v>88</v>
      </c>
      <c r="B73" s="2">
        <v>63.755747135521311</v>
      </c>
      <c r="C73" s="2">
        <v>257</v>
      </c>
      <c r="D73" s="2">
        <v>93.615477416078093</v>
      </c>
      <c r="E73" s="2">
        <f t="shared" si="3"/>
        <v>53.17383711677958</v>
      </c>
      <c r="G73" s="2">
        <v>360</v>
      </c>
      <c r="H73" s="2">
        <v>57.547417787587896</v>
      </c>
      <c r="I73" s="2">
        <v>265</v>
      </c>
      <c r="J73" s="2">
        <v>87.737307192795541</v>
      </c>
      <c r="K73" s="2">
        <f t="shared" si="4"/>
        <v>45.285893575385472</v>
      </c>
      <c r="M73" s="2">
        <v>367</v>
      </c>
      <c r="N73" s="2">
        <v>96.11905638239142</v>
      </c>
      <c r="O73" s="2">
        <v>246</v>
      </c>
      <c r="P73" s="2">
        <v>92.831856258772532</v>
      </c>
      <c r="Q73" s="2">
        <f t="shared" si="5"/>
        <v>52.701879359876543</v>
      </c>
    </row>
    <row r="74" spans="1:17" x14ac:dyDescent="0.25">
      <c r="A74" s="2">
        <v>64</v>
      </c>
      <c r="B74" s="2">
        <v>35.67533266935893</v>
      </c>
      <c r="C74" s="2">
        <v>179</v>
      </c>
      <c r="D74" s="2">
        <v>93.67299887367345</v>
      </c>
      <c r="E74" s="2">
        <f t="shared" si="3"/>
        <v>53.17383711677958</v>
      </c>
      <c r="G74" s="2">
        <v>365</v>
      </c>
      <c r="H74" s="2">
        <v>94.146480877652522</v>
      </c>
      <c r="I74" s="2">
        <v>105</v>
      </c>
      <c r="J74" s="2">
        <v>90.756647392609295</v>
      </c>
      <c r="K74" s="2">
        <f t="shared" si="4"/>
        <v>45.285893575385472</v>
      </c>
      <c r="M74" s="2">
        <v>359</v>
      </c>
      <c r="N74" s="2">
        <v>94.023024142495757</v>
      </c>
      <c r="O74" s="2">
        <v>257</v>
      </c>
      <c r="P74" s="2">
        <v>93.615477416078093</v>
      </c>
      <c r="Q74" s="2">
        <f t="shared" si="5"/>
        <v>52.701879359876543</v>
      </c>
    </row>
    <row r="75" spans="1:17" x14ac:dyDescent="0.25">
      <c r="A75" s="2">
        <v>15</v>
      </c>
      <c r="B75" s="2">
        <v>18.182496720710059</v>
      </c>
      <c r="C75" s="2">
        <v>359</v>
      </c>
      <c r="D75" s="2">
        <v>94.023024142495757</v>
      </c>
      <c r="E75" s="2">
        <f t="shared" si="3"/>
        <v>53.17383711677958</v>
      </c>
      <c r="G75" s="2">
        <v>370</v>
      </c>
      <c r="H75" s="2">
        <v>6.9361300875165446</v>
      </c>
      <c r="I75" s="2">
        <v>365</v>
      </c>
      <c r="J75" s="2">
        <v>94.146480877652522</v>
      </c>
      <c r="K75" s="2">
        <f t="shared" si="4"/>
        <v>45.285893575385472</v>
      </c>
      <c r="M75" s="2">
        <v>323</v>
      </c>
      <c r="N75" s="2">
        <v>66.019737671773129</v>
      </c>
      <c r="O75" s="2">
        <v>53</v>
      </c>
      <c r="P75" s="2">
        <v>93.949894156418907</v>
      </c>
      <c r="Q75" s="2">
        <f t="shared" si="5"/>
        <v>52.701879359876543</v>
      </c>
    </row>
    <row r="76" spans="1:17" x14ac:dyDescent="0.25">
      <c r="A76" s="2">
        <v>345</v>
      </c>
      <c r="B76" s="2">
        <v>39.850473439737343</v>
      </c>
      <c r="C76" s="2">
        <v>241</v>
      </c>
      <c r="D76" s="2">
        <v>94.045858435291436</v>
      </c>
      <c r="E76" s="2">
        <f t="shared" si="3"/>
        <v>53.17383711677958</v>
      </c>
      <c r="G76" s="2">
        <v>375</v>
      </c>
      <c r="H76" s="2">
        <v>7.1188648460228983</v>
      </c>
      <c r="I76" s="2">
        <v>135</v>
      </c>
      <c r="J76" s="2">
        <v>94.290970391251918</v>
      </c>
      <c r="K76" s="2">
        <f t="shared" si="4"/>
        <v>45.285893575385472</v>
      </c>
      <c r="M76" s="2">
        <v>377</v>
      </c>
      <c r="N76" s="2">
        <v>84.48753109694546</v>
      </c>
      <c r="O76" s="2">
        <v>359</v>
      </c>
      <c r="P76" s="2">
        <v>94.023024142495757</v>
      </c>
      <c r="Q76" s="2">
        <f t="shared" si="5"/>
        <v>52.701879359876543</v>
      </c>
    </row>
    <row r="77" spans="1:17" x14ac:dyDescent="0.25">
      <c r="A77" s="2">
        <v>18</v>
      </c>
      <c r="B77" s="2">
        <v>52.475643163223793</v>
      </c>
      <c r="C77" s="2">
        <v>135</v>
      </c>
      <c r="D77" s="2">
        <v>94.290970391251918</v>
      </c>
      <c r="E77" s="2">
        <f t="shared" si="3"/>
        <v>53.17383711677958</v>
      </c>
      <c r="G77" s="2">
        <v>380</v>
      </c>
      <c r="H77" s="2">
        <v>28.18547747733999</v>
      </c>
      <c r="I77" s="2">
        <v>325</v>
      </c>
      <c r="J77" s="2">
        <v>95.486528066319408</v>
      </c>
      <c r="K77" s="2">
        <f t="shared" si="4"/>
        <v>45.285893575385472</v>
      </c>
      <c r="M77" s="2">
        <v>355</v>
      </c>
      <c r="N77" s="2">
        <v>7.0568747400429839</v>
      </c>
      <c r="O77" s="2">
        <v>242</v>
      </c>
      <c r="P77" s="2">
        <v>95.39285770025873</v>
      </c>
      <c r="Q77" s="2">
        <f t="shared" si="5"/>
        <v>52.701879359876543</v>
      </c>
    </row>
    <row r="78" spans="1:17" x14ac:dyDescent="0.25">
      <c r="A78" s="2">
        <v>360</v>
      </c>
      <c r="B78" s="2">
        <v>57.547417787587896</v>
      </c>
      <c r="C78" s="2">
        <v>249</v>
      </c>
      <c r="D78" s="2">
        <v>96.361997708925287</v>
      </c>
      <c r="E78" s="2">
        <f t="shared" si="3"/>
        <v>53.17383711677958</v>
      </c>
      <c r="G78" s="2">
        <v>385</v>
      </c>
      <c r="H78" s="2">
        <v>73.507104380388583</v>
      </c>
      <c r="I78" s="2">
        <v>35</v>
      </c>
      <c r="J78" s="2">
        <v>96.563203307455936</v>
      </c>
      <c r="K78" s="2">
        <f t="shared" si="4"/>
        <v>45.285893575385472</v>
      </c>
      <c r="M78" s="2">
        <v>353</v>
      </c>
      <c r="N78" s="2">
        <v>65.869363161894498</v>
      </c>
      <c r="O78" s="2">
        <v>325</v>
      </c>
      <c r="P78" s="2">
        <v>95.486528066319408</v>
      </c>
      <c r="Q78" s="2">
        <f t="shared" si="5"/>
        <v>52.701879359876543</v>
      </c>
    </row>
    <row r="79" spans="1:17" x14ac:dyDescent="0.25">
      <c r="A79" s="2">
        <v>391</v>
      </c>
      <c r="B79" s="2">
        <v>99.050514200067326</v>
      </c>
      <c r="C79" s="2">
        <v>140</v>
      </c>
      <c r="D79" s="2">
        <v>97.178208272096072</v>
      </c>
      <c r="E79" s="2">
        <f t="shared" si="3"/>
        <v>53.17383711677958</v>
      </c>
      <c r="G79" s="2">
        <v>390</v>
      </c>
      <c r="H79" s="2">
        <v>80.683473926726407</v>
      </c>
      <c r="I79" s="2">
        <v>140</v>
      </c>
      <c r="J79" s="2">
        <v>97.178208272096072</v>
      </c>
      <c r="K79" s="2">
        <f t="shared" si="4"/>
        <v>45.285893575385472</v>
      </c>
      <c r="M79" s="2">
        <v>397</v>
      </c>
      <c r="N79" s="2">
        <v>85.841275184301182</v>
      </c>
      <c r="O79" s="2">
        <v>367</v>
      </c>
      <c r="P79" s="2">
        <v>96.11905638239142</v>
      </c>
      <c r="Q79" s="2">
        <f t="shared" si="5"/>
        <v>52.701879359876543</v>
      </c>
    </row>
    <row r="80" spans="1:17" x14ac:dyDescent="0.25">
      <c r="A80" s="2">
        <v>349</v>
      </c>
      <c r="B80" s="2">
        <v>37.461261462647123</v>
      </c>
      <c r="C80" s="2">
        <v>262</v>
      </c>
      <c r="D80" s="2">
        <v>99.005385010426323</v>
      </c>
      <c r="E80" s="2">
        <f t="shared" si="3"/>
        <v>53.17383711677958</v>
      </c>
      <c r="G80" s="2">
        <v>395</v>
      </c>
      <c r="H80" s="2">
        <v>34.080354025301787</v>
      </c>
      <c r="I80" s="2">
        <v>155</v>
      </c>
      <c r="J80" s="2">
        <v>98.565045411060069</v>
      </c>
      <c r="K80" s="2">
        <f t="shared" si="4"/>
        <v>45.285893575385472</v>
      </c>
      <c r="M80" s="2">
        <v>384</v>
      </c>
      <c r="N80" s="2">
        <v>87.747201352705289</v>
      </c>
      <c r="O80" s="2">
        <v>249</v>
      </c>
      <c r="P80" s="2">
        <v>96.361997708925287</v>
      </c>
      <c r="Q80" s="2">
        <f t="shared" si="5"/>
        <v>52.701879359876543</v>
      </c>
    </row>
    <row r="81" spans="1:17" x14ac:dyDescent="0.25">
      <c r="A81" s="2">
        <v>89</v>
      </c>
      <c r="B81" s="2">
        <v>88.721274257632658</v>
      </c>
      <c r="C81" s="2">
        <v>391</v>
      </c>
      <c r="D81" s="2">
        <v>99.050514200067326</v>
      </c>
      <c r="E81" s="2">
        <f t="shared" si="3"/>
        <v>53.17383711677958</v>
      </c>
      <c r="G81" s="2">
        <v>400</v>
      </c>
      <c r="H81" s="2">
        <v>75.454287408468232</v>
      </c>
      <c r="I81" s="2">
        <v>70</v>
      </c>
      <c r="J81" s="2">
        <v>98.688693660051726</v>
      </c>
      <c r="K81" s="2">
        <f t="shared" si="4"/>
        <v>45.285893575385472</v>
      </c>
      <c r="M81" s="2">
        <v>336</v>
      </c>
      <c r="N81" s="2">
        <v>4.0728802318970132</v>
      </c>
      <c r="O81" s="2">
        <v>227</v>
      </c>
      <c r="P81" s="2">
        <v>97.301055475244553</v>
      </c>
      <c r="Q81" s="2">
        <f t="shared" si="5"/>
        <v>52.701879359876543</v>
      </c>
    </row>
  </sheetData>
  <sortState ref="O2:P81">
    <sortCondition ref="P1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Статистики</vt:lpstr>
      <vt:lpstr>Генеральная_совокупность</vt:lpstr>
      <vt:lpstr>Выборки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Komp</cp:lastModifiedBy>
  <dcterms:created xsi:type="dcterms:W3CDTF">2026-09-18T15:48:13Z</dcterms:created>
  <dcterms:modified xsi:type="dcterms:W3CDTF">2026-09-18T18:03:59Z</dcterms:modified>
</cp:coreProperties>
</file>