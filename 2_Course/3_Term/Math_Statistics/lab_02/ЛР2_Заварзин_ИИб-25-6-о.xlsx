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v\SevSU\2_Course\3_Term\Math_Statistics\lab_02\"/>
    </mc:Choice>
  </mc:AlternateContent>
  <xr:revisionPtr revIDLastSave="0" documentId="13_ncr:1_{FB415496-8F86-474C-8603-6939EBDEDD9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Генеральная совокупность" sheetId="1" r:id="rId1"/>
    <sheet name="Подвыборки" sheetId="2" r:id="rId2"/>
    <sheet name="Статистик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6" i="3"/>
  <c r="D5" i="3"/>
  <c r="D4" i="3"/>
  <c r="D3" i="3"/>
  <c r="I2" i="3" l="1"/>
  <c r="I3" i="3"/>
  <c r="J2" i="3"/>
  <c r="N2" i="3"/>
  <c r="I7" i="3"/>
  <c r="I6" i="3"/>
  <c r="I5" i="3"/>
  <c r="I4" i="3"/>
  <c r="H7" i="3"/>
  <c r="H6" i="3"/>
  <c r="H5" i="3"/>
  <c r="H4" i="3"/>
  <c r="H3" i="3"/>
  <c r="H2" i="3"/>
  <c r="G2" i="3"/>
  <c r="F7" i="3"/>
  <c r="N7" i="3" s="1"/>
  <c r="F6" i="3"/>
  <c r="G6" i="3" s="1"/>
  <c r="F5" i="3"/>
  <c r="G5" i="3" s="1"/>
  <c r="F4" i="3"/>
  <c r="G4" i="3" s="1"/>
  <c r="F3" i="3"/>
  <c r="G3" i="3" s="1"/>
  <c r="F2" i="3"/>
  <c r="M2" i="3" s="1"/>
  <c r="E7" i="3"/>
  <c r="E6" i="3"/>
  <c r="E5" i="3"/>
  <c r="E4" i="3"/>
  <c r="E3" i="3"/>
  <c r="E2" i="3"/>
  <c r="D2" i="3"/>
  <c r="C7" i="3"/>
  <c r="C6" i="3"/>
  <c r="C5" i="3"/>
  <c r="J5" i="3" s="1"/>
  <c r="C4" i="3"/>
  <c r="C3" i="3"/>
  <c r="C2" i="3"/>
  <c r="J6" i="3" l="1"/>
  <c r="J4" i="3"/>
  <c r="J7" i="3"/>
  <c r="N6" i="3"/>
  <c r="N5" i="3"/>
  <c r="K5" i="3"/>
  <c r="K6" i="3"/>
  <c r="K7" i="3"/>
  <c r="K4" i="3"/>
  <c r="N4" i="3"/>
  <c r="N3" i="3"/>
  <c r="M7" i="3"/>
  <c r="M6" i="3"/>
  <c r="L7" i="3"/>
  <c r="L6" i="3"/>
  <c r="M5" i="3"/>
  <c r="L5" i="3"/>
  <c r="M4" i="3"/>
  <c r="L4" i="3"/>
  <c r="M3" i="3"/>
  <c r="L3" i="3"/>
  <c r="J3" i="3"/>
  <c r="G7" i="3"/>
  <c r="K3" i="3"/>
  <c r="K2" i="3"/>
  <c r="L2" i="3"/>
</calcChain>
</file>

<file path=xl/sharedStrings.xml><?xml version="1.0" encoding="utf-8"?>
<sst xmlns="http://schemas.openxmlformats.org/spreadsheetml/2006/main" count="42" uniqueCount="33">
  <si>
    <t>n = 10 (индекс)</t>
  </si>
  <si>
    <t>n = 25 (индекс)</t>
  </si>
  <si>
    <t>n = 50 (индекс)</t>
  </si>
  <si>
    <t>n = 100 (индекс)</t>
  </si>
  <si>
    <t>n = 200 (индекс)</t>
  </si>
  <si>
    <t>n = 10 (Значение)</t>
  </si>
  <si>
    <t>n = 25 (Значение)</t>
  </si>
  <si>
    <t>n = 50 (Значение)</t>
  </si>
  <si>
    <t>n = 100 (Значение)</t>
  </si>
  <si>
    <t>n = 200 (Значение)</t>
  </si>
  <si>
    <t>Генеральная совокупность</t>
  </si>
  <si>
    <t>Объём</t>
  </si>
  <si>
    <t>Среднее</t>
  </si>
  <si>
    <t>Медиана</t>
  </si>
  <si>
    <t>Мода</t>
  </si>
  <si>
    <t>Дисперсия</t>
  </si>
  <si>
    <t>СКО</t>
  </si>
  <si>
    <t>Ст. ошибка</t>
  </si>
  <si>
    <t>95% ДИ (для среднего)</t>
  </si>
  <si>
    <t>95% ДИ (для дисперсии)</t>
  </si>
  <si>
    <t>Правая граница 95% ДИ (для среднего)</t>
  </si>
  <si>
    <t>Левая граница 95% ДИ (для среднего)</t>
  </si>
  <si>
    <t>половина интервала</t>
  </si>
  <si>
    <t>Правая граница 95% ДИ (для дисперсии)</t>
  </si>
  <si>
    <t>Левая граница 95% ДИ (для дисперсии)</t>
  </si>
  <si>
    <t>1 Выборка (n = 10)</t>
  </si>
  <si>
    <t>2 Выборка (n = 25)</t>
  </si>
  <si>
    <t>3 Выборка (n = 50)</t>
  </si>
  <si>
    <t>4 Выборка (n = 100)</t>
  </si>
  <si>
    <t>5 Выборка (n = 200)</t>
  </si>
  <si>
    <t>Значение</t>
  </si>
  <si>
    <t>Индекс</t>
  </si>
  <si>
    <t>Вар.ряд индекс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</si>
</sst>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2" borderId="0" xfId="0" applyFont="1" applyFill="1" applyBorder="1"/>
    <xf numFmtId="0" fontId="0" fillId="2" borderId="0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1"/>
  <sheetViews>
    <sheetView workbookViewId="0">
      <selection activeCell="D6" sqref="D6"/>
    </sheetView>
  </sheetViews>
  <sheetFormatPr defaultRowHeight="15" x14ac:dyDescent="0.25"/>
  <cols>
    <col min="1" max="1" width="7.7109375" customWidth="1"/>
    <col min="2" max="2" width="9.5703125" customWidth="1"/>
  </cols>
  <sheetData>
    <row r="1" spans="1:2" x14ac:dyDescent="0.25">
      <c r="A1" t="s">
        <v>31</v>
      </c>
      <c r="B1" t="s">
        <v>30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10</v>
      </c>
    </row>
    <row r="4" spans="1:2" x14ac:dyDescent="0.25">
      <c r="A4">
        <v>3</v>
      </c>
      <c r="B4">
        <v>7</v>
      </c>
    </row>
    <row r="5" spans="1:2" x14ac:dyDescent="0.25">
      <c r="A5">
        <v>4</v>
      </c>
      <c r="B5">
        <v>8</v>
      </c>
    </row>
    <row r="6" spans="1:2" x14ac:dyDescent="0.25">
      <c r="A6">
        <v>5</v>
      </c>
      <c r="B6">
        <v>11</v>
      </c>
    </row>
    <row r="7" spans="1:2" x14ac:dyDescent="0.25">
      <c r="A7">
        <v>6</v>
      </c>
      <c r="B7">
        <v>7</v>
      </c>
    </row>
    <row r="8" spans="1:2" x14ac:dyDescent="0.25">
      <c r="A8">
        <v>7</v>
      </c>
      <c r="B8">
        <v>9</v>
      </c>
    </row>
    <row r="9" spans="1:2" x14ac:dyDescent="0.25">
      <c r="A9">
        <v>8</v>
      </c>
      <c r="B9">
        <v>6</v>
      </c>
    </row>
    <row r="10" spans="1:2" x14ac:dyDescent="0.25">
      <c r="A10">
        <v>9</v>
      </c>
      <c r="B10">
        <v>8</v>
      </c>
    </row>
    <row r="11" spans="1:2" x14ac:dyDescent="0.25">
      <c r="A11">
        <v>10</v>
      </c>
      <c r="B11">
        <v>6</v>
      </c>
    </row>
    <row r="12" spans="1:2" x14ac:dyDescent="0.25">
      <c r="A12">
        <v>11</v>
      </c>
      <c r="B12">
        <v>6</v>
      </c>
    </row>
    <row r="13" spans="1:2" x14ac:dyDescent="0.25">
      <c r="A13">
        <v>12</v>
      </c>
      <c r="B13">
        <v>12</v>
      </c>
    </row>
    <row r="14" spans="1:2" x14ac:dyDescent="0.25">
      <c r="A14">
        <v>13</v>
      </c>
      <c r="B14">
        <v>10</v>
      </c>
    </row>
    <row r="15" spans="1:2" x14ac:dyDescent="0.25">
      <c r="A15">
        <v>14</v>
      </c>
      <c r="B15">
        <v>5</v>
      </c>
    </row>
    <row r="16" spans="1:2" x14ac:dyDescent="0.25">
      <c r="A16">
        <v>15</v>
      </c>
      <c r="B16">
        <v>6</v>
      </c>
    </row>
    <row r="17" spans="1:2" x14ac:dyDescent="0.25">
      <c r="A17">
        <v>16</v>
      </c>
      <c r="B17">
        <v>10</v>
      </c>
    </row>
    <row r="18" spans="1:2" x14ac:dyDescent="0.25">
      <c r="A18">
        <v>17</v>
      </c>
      <c r="B18">
        <v>6</v>
      </c>
    </row>
    <row r="19" spans="1:2" x14ac:dyDescent="0.25">
      <c r="A19">
        <v>18</v>
      </c>
      <c r="B19">
        <v>8</v>
      </c>
    </row>
    <row r="20" spans="1:2" x14ac:dyDescent="0.25">
      <c r="A20">
        <v>19</v>
      </c>
      <c r="B20">
        <v>8</v>
      </c>
    </row>
    <row r="21" spans="1:2" x14ac:dyDescent="0.25">
      <c r="A21">
        <v>20</v>
      </c>
      <c r="B21">
        <v>10</v>
      </c>
    </row>
    <row r="22" spans="1:2" x14ac:dyDescent="0.25">
      <c r="A22">
        <v>21</v>
      </c>
      <c r="B22">
        <v>8</v>
      </c>
    </row>
    <row r="23" spans="1:2" x14ac:dyDescent="0.25">
      <c r="A23">
        <v>22</v>
      </c>
      <c r="B23">
        <v>6</v>
      </c>
    </row>
    <row r="24" spans="1:2" x14ac:dyDescent="0.25">
      <c r="A24">
        <v>23</v>
      </c>
      <c r="B24">
        <v>5</v>
      </c>
    </row>
    <row r="25" spans="1:2" x14ac:dyDescent="0.25">
      <c r="A25">
        <v>24</v>
      </c>
      <c r="B25">
        <v>7</v>
      </c>
    </row>
    <row r="26" spans="1:2" x14ac:dyDescent="0.25">
      <c r="A26">
        <v>25</v>
      </c>
      <c r="B26">
        <v>9</v>
      </c>
    </row>
    <row r="27" spans="1:2" x14ac:dyDescent="0.25">
      <c r="A27">
        <v>26</v>
      </c>
      <c r="B27">
        <v>6</v>
      </c>
    </row>
    <row r="28" spans="1:2" x14ac:dyDescent="0.25">
      <c r="A28">
        <v>27</v>
      </c>
      <c r="B28">
        <v>8</v>
      </c>
    </row>
    <row r="29" spans="1:2" x14ac:dyDescent="0.25">
      <c r="A29">
        <v>28</v>
      </c>
      <c r="B29">
        <v>10</v>
      </c>
    </row>
    <row r="30" spans="1:2" x14ac:dyDescent="0.25">
      <c r="A30">
        <v>29</v>
      </c>
      <c r="B30">
        <v>8</v>
      </c>
    </row>
    <row r="31" spans="1:2" x14ac:dyDescent="0.25">
      <c r="A31">
        <v>30</v>
      </c>
      <c r="B31">
        <v>7</v>
      </c>
    </row>
    <row r="32" spans="1:2" x14ac:dyDescent="0.25">
      <c r="A32">
        <v>31</v>
      </c>
      <c r="B32">
        <v>3</v>
      </c>
    </row>
    <row r="33" spans="1:2" x14ac:dyDescent="0.25">
      <c r="A33">
        <v>32</v>
      </c>
      <c r="B33">
        <v>6</v>
      </c>
    </row>
    <row r="34" spans="1:2" x14ac:dyDescent="0.25">
      <c r="A34">
        <v>33</v>
      </c>
      <c r="B34">
        <v>6</v>
      </c>
    </row>
    <row r="35" spans="1:2" x14ac:dyDescent="0.25">
      <c r="A35">
        <v>34</v>
      </c>
      <c r="B35">
        <v>6</v>
      </c>
    </row>
    <row r="36" spans="1:2" x14ac:dyDescent="0.25">
      <c r="A36">
        <v>35</v>
      </c>
      <c r="B36">
        <v>13</v>
      </c>
    </row>
    <row r="37" spans="1:2" x14ac:dyDescent="0.25">
      <c r="A37">
        <v>36</v>
      </c>
      <c r="B37">
        <v>7</v>
      </c>
    </row>
    <row r="38" spans="1:2" x14ac:dyDescent="0.25">
      <c r="A38">
        <v>37</v>
      </c>
      <c r="B38">
        <v>12</v>
      </c>
    </row>
    <row r="39" spans="1:2" x14ac:dyDescent="0.25">
      <c r="A39">
        <v>38</v>
      </c>
      <c r="B39">
        <v>9</v>
      </c>
    </row>
    <row r="40" spans="1:2" x14ac:dyDescent="0.25">
      <c r="A40">
        <v>39</v>
      </c>
      <c r="B40">
        <v>11</v>
      </c>
    </row>
    <row r="41" spans="1:2" x14ac:dyDescent="0.25">
      <c r="A41">
        <v>40</v>
      </c>
      <c r="B41">
        <v>9</v>
      </c>
    </row>
    <row r="42" spans="1:2" x14ac:dyDescent="0.25">
      <c r="A42">
        <v>41</v>
      </c>
      <c r="B42">
        <v>6</v>
      </c>
    </row>
    <row r="43" spans="1:2" x14ac:dyDescent="0.25">
      <c r="A43">
        <v>42</v>
      </c>
      <c r="B43">
        <v>9</v>
      </c>
    </row>
    <row r="44" spans="1:2" x14ac:dyDescent="0.25">
      <c r="A44">
        <v>43</v>
      </c>
      <c r="B44">
        <v>15</v>
      </c>
    </row>
    <row r="45" spans="1:2" x14ac:dyDescent="0.25">
      <c r="A45">
        <v>44</v>
      </c>
      <c r="B45">
        <v>6</v>
      </c>
    </row>
    <row r="46" spans="1:2" x14ac:dyDescent="0.25">
      <c r="A46">
        <v>45</v>
      </c>
      <c r="B46">
        <v>9</v>
      </c>
    </row>
    <row r="47" spans="1:2" x14ac:dyDescent="0.25">
      <c r="A47">
        <v>46</v>
      </c>
      <c r="B47">
        <v>6</v>
      </c>
    </row>
    <row r="48" spans="1:2" x14ac:dyDescent="0.25">
      <c r="A48">
        <v>47</v>
      </c>
      <c r="B48">
        <v>6</v>
      </c>
    </row>
    <row r="49" spans="1:2" x14ac:dyDescent="0.25">
      <c r="A49">
        <v>48</v>
      </c>
      <c r="B49">
        <v>5</v>
      </c>
    </row>
    <row r="50" spans="1:2" x14ac:dyDescent="0.25">
      <c r="A50">
        <v>49</v>
      </c>
      <c r="B50">
        <v>8</v>
      </c>
    </row>
    <row r="51" spans="1:2" x14ac:dyDescent="0.25">
      <c r="A51">
        <v>50</v>
      </c>
      <c r="B51">
        <v>10</v>
      </c>
    </row>
    <row r="52" spans="1:2" x14ac:dyDescent="0.25">
      <c r="A52">
        <v>51</v>
      </c>
      <c r="B52">
        <v>5</v>
      </c>
    </row>
    <row r="53" spans="1:2" x14ac:dyDescent="0.25">
      <c r="A53">
        <v>52</v>
      </c>
      <c r="B53">
        <v>11</v>
      </c>
    </row>
    <row r="54" spans="1:2" x14ac:dyDescent="0.25">
      <c r="A54">
        <v>53</v>
      </c>
      <c r="B54">
        <v>6</v>
      </c>
    </row>
    <row r="55" spans="1:2" x14ac:dyDescent="0.25">
      <c r="A55">
        <v>54</v>
      </c>
      <c r="B55">
        <v>8</v>
      </c>
    </row>
    <row r="56" spans="1:2" x14ac:dyDescent="0.25">
      <c r="A56">
        <v>55</v>
      </c>
      <c r="B56">
        <v>5</v>
      </c>
    </row>
    <row r="57" spans="1:2" x14ac:dyDescent="0.25">
      <c r="A57">
        <v>56</v>
      </c>
      <c r="B57">
        <v>15</v>
      </c>
    </row>
    <row r="58" spans="1:2" x14ac:dyDescent="0.25">
      <c r="A58">
        <v>57</v>
      </c>
      <c r="B58">
        <v>7</v>
      </c>
    </row>
    <row r="59" spans="1:2" x14ac:dyDescent="0.25">
      <c r="A59">
        <v>58</v>
      </c>
      <c r="B59">
        <v>5</v>
      </c>
    </row>
    <row r="60" spans="1:2" x14ac:dyDescent="0.25">
      <c r="A60">
        <v>59</v>
      </c>
      <c r="B60">
        <v>10</v>
      </c>
    </row>
    <row r="61" spans="1:2" x14ac:dyDescent="0.25">
      <c r="A61">
        <v>60</v>
      </c>
      <c r="B61">
        <v>5</v>
      </c>
    </row>
    <row r="62" spans="1:2" x14ac:dyDescent="0.25">
      <c r="A62">
        <v>61</v>
      </c>
      <c r="B62">
        <v>10</v>
      </c>
    </row>
    <row r="63" spans="1:2" x14ac:dyDescent="0.25">
      <c r="A63">
        <v>62</v>
      </c>
      <c r="B63">
        <v>6</v>
      </c>
    </row>
    <row r="64" spans="1:2" x14ac:dyDescent="0.25">
      <c r="A64">
        <v>63</v>
      </c>
      <c r="B64">
        <v>6</v>
      </c>
    </row>
    <row r="65" spans="1:2" x14ac:dyDescent="0.25">
      <c r="A65">
        <v>64</v>
      </c>
      <c r="B65">
        <v>9</v>
      </c>
    </row>
    <row r="66" spans="1:2" x14ac:dyDescent="0.25">
      <c r="A66">
        <v>65</v>
      </c>
      <c r="B66">
        <v>12</v>
      </c>
    </row>
    <row r="67" spans="1:2" x14ac:dyDescent="0.25">
      <c r="A67">
        <v>66</v>
      </c>
      <c r="B67">
        <v>5</v>
      </c>
    </row>
    <row r="68" spans="1:2" x14ac:dyDescent="0.25">
      <c r="A68">
        <v>67</v>
      </c>
      <c r="B68">
        <v>5</v>
      </c>
    </row>
    <row r="69" spans="1:2" x14ac:dyDescent="0.25">
      <c r="A69">
        <v>68</v>
      </c>
      <c r="B69">
        <v>18</v>
      </c>
    </row>
    <row r="70" spans="1:2" x14ac:dyDescent="0.25">
      <c r="A70">
        <v>69</v>
      </c>
      <c r="B70">
        <v>8</v>
      </c>
    </row>
    <row r="71" spans="1:2" x14ac:dyDescent="0.25">
      <c r="A71">
        <v>70</v>
      </c>
      <c r="B71">
        <v>9</v>
      </c>
    </row>
    <row r="72" spans="1:2" x14ac:dyDescent="0.25">
      <c r="A72">
        <v>71</v>
      </c>
      <c r="B72">
        <v>8</v>
      </c>
    </row>
    <row r="73" spans="1:2" x14ac:dyDescent="0.25">
      <c r="A73">
        <v>72</v>
      </c>
      <c r="B73">
        <v>4</v>
      </c>
    </row>
    <row r="74" spans="1:2" x14ac:dyDescent="0.25">
      <c r="A74">
        <v>73</v>
      </c>
      <c r="B74">
        <v>8</v>
      </c>
    </row>
    <row r="75" spans="1:2" x14ac:dyDescent="0.25">
      <c r="A75">
        <v>74</v>
      </c>
      <c r="B75">
        <v>6</v>
      </c>
    </row>
    <row r="76" spans="1:2" x14ac:dyDescent="0.25">
      <c r="A76">
        <v>75</v>
      </c>
      <c r="B76">
        <v>11</v>
      </c>
    </row>
    <row r="77" spans="1:2" x14ac:dyDescent="0.25">
      <c r="A77">
        <v>76</v>
      </c>
      <c r="B77">
        <v>5</v>
      </c>
    </row>
    <row r="78" spans="1:2" x14ac:dyDescent="0.25">
      <c r="A78">
        <v>77</v>
      </c>
      <c r="B78">
        <v>7</v>
      </c>
    </row>
    <row r="79" spans="1:2" x14ac:dyDescent="0.25">
      <c r="A79">
        <v>78</v>
      </c>
      <c r="B79">
        <v>10</v>
      </c>
    </row>
    <row r="80" spans="1:2" x14ac:dyDescent="0.25">
      <c r="A80">
        <v>79</v>
      </c>
      <c r="B80">
        <v>14</v>
      </c>
    </row>
    <row r="81" spans="1:2" x14ac:dyDescent="0.25">
      <c r="A81">
        <v>80</v>
      </c>
      <c r="B81">
        <v>6</v>
      </c>
    </row>
    <row r="82" spans="1:2" x14ac:dyDescent="0.25">
      <c r="A82">
        <v>81</v>
      </c>
      <c r="B82">
        <v>4</v>
      </c>
    </row>
    <row r="83" spans="1:2" x14ac:dyDescent="0.25">
      <c r="A83">
        <v>82</v>
      </c>
      <c r="B83">
        <v>5</v>
      </c>
    </row>
    <row r="84" spans="1:2" x14ac:dyDescent="0.25">
      <c r="A84">
        <v>83</v>
      </c>
      <c r="B84">
        <v>6</v>
      </c>
    </row>
    <row r="85" spans="1:2" x14ac:dyDescent="0.25">
      <c r="A85">
        <v>84</v>
      </c>
      <c r="B85">
        <v>2</v>
      </c>
    </row>
    <row r="86" spans="1:2" x14ac:dyDescent="0.25">
      <c r="A86">
        <v>85</v>
      </c>
      <c r="B86">
        <v>9</v>
      </c>
    </row>
    <row r="87" spans="1:2" x14ac:dyDescent="0.25">
      <c r="A87">
        <v>86</v>
      </c>
      <c r="B87">
        <v>7</v>
      </c>
    </row>
    <row r="88" spans="1:2" x14ac:dyDescent="0.25">
      <c r="A88">
        <v>87</v>
      </c>
      <c r="B88">
        <v>3</v>
      </c>
    </row>
    <row r="89" spans="1:2" x14ac:dyDescent="0.25">
      <c r="A89">
        <v>88</v>
      </c>
      <c r="B89">
        <v>4</v>
      </c>
    </row>
    <row r="90" spans="1:2" x14ac:dyDescent="0.25">
      <c r="A90">
        <v>89</v>
      </c>
      <c r="B90">
        <v>6</v>
      </c>
    </row>
    <row r="91" spans="1:2" x14ac:dyDescent="0.25">
      <c r="A91">
        <v>90</v>
      </c>
      <c r="B91">
        <v>13</v>
      </c>
    </row>
    <row r="92" spans="1:2" x14ac:dyDescent="0.25">
      <c r="A92">
        <v>91</v>
      </c>
      <c r="B92">
        <v>3</v>
      </c>
    </row>
    <row r="93" spans="1:2" x14ac:dyDescent="0.25">
      <c r="A93">
        <v>92</v>
      </c>
      <c r="B93">
        <v>7</v>
      </c>
    </row>
    <row r="94" spans="1:2" x14ac:dyDescent="0.25">
      <c r="A94">
        <v>93</v>
      </c>
      <c r="B94">
        <v>6</v>
      </c>
    </row>
    <row r="95" spans="1:2" x14ac:dyDescent="0.25">
      <c r="A95">
        <v>94</v>
      </c>
      <c r="B95">
        <v>7</v>
      </c>
    </row>
    <row r="96" spans="1:2" x14ac:dyDescent="0.25">
      <c r="A96">
        <v>95</v>
      </c>
      <c r="B96">
        <v>6</v>
      </c>
    </row>
    <row r="97" spans="1:2" x14ac:dyDescent="0.25">
      <c r="A97">
        <v>96</v>
      </c>
      <c r="B97">
        <v>13</v>
      </c>
    </row>
    <row r="98" spans="1:2" x14ac:dyDescent="0.25">
      <c r="A98">
        <v>97</v>
      </c>
      <c r="B98">
        <v>4</v>
      </c>
    </row>
    <row r="99" spans="1:2" x14ac:dyDescent="0.25">
      <c r="A99">
        <v>98</v>
      </c>
      <c r="B99">
        <v>9</v>
      </c>
    </row>
    <row r="100" spans="1:2" x14ac:dyDescent="0.25">
      <c r="A100">
        <v>99</v>
      </c>
      <c r="B100">
        <v>13</v>
      </c>
    </row>
    <row r="101" spans="1:2" x14ac:dyDescent="0.25">
      <c r="A101">
        <v>100</v>
      </c>
      <c r="B101">
        <v>7</v>
      </c>
    </row>
    <row r="102" spans="1:2" x14ac:dyDescent="0.25">
      <c r="A102">
        <v>101</v>
      </c>
      <c r="B102">
        <v>10</v>
      </c>
    </row>
    <row r="103" spans="1:2" x14ac:dyDescent="0.25">
      <c r="A103">
        <v>102</v>
      </c>
      <c r="B103">
        <v>8</v>
      </c>
    </row>
    <row r="104" spans="1:2" x14ac:dyDescent="0.25">
      <c r="A104">
        <v>103</v>
      </c>
      <c r="B104">
        <v>5</v>
      </c>
    </row>
    <row r="105" spans="1:2" x14ac:dyDescent="0.25">
      <c r="A105">
        <v>104</v>
      </c>
      <c r="B105">
        <v>13</v>
      </c>
    </row>
    <row r="106" spans="1:2" x14ac:dyDescent="0.25">
      <c r="A106">
        <v>105</v>
      </c>
      <c r="B106">
        <v>7</v>
      </c>
    </row>
    <row r="107" spans="1:2" x14ac:dyDescent="0.25">
      <c r="A107">
        <v>106</v>
      </c>
      <c r="B107">
        <v>10</v>
      </c>
    </row>
    <row r="108" spans="1:2" x14ac:dyDescent="0.25">
      <c r="A108">
        <v>107</v>
      </c>
      <c r="B108">
        <v>7</v>
      </c>
    </row>
    <row r="109" spans="1:2" x14ac:dyDescent="0.25">
      <c r="A109">
        <v>108</v>
      </c>
      <c r="B109">
        <v>9</v>
      </c>
    </row>
    <row r="110" spans="1:2" x14ac:dyDescent="0.25">
      <c r="A110">
        <v>109</v>
      </c>
      <c r="B110">
        <v>10</v>
      </c>
    </row>
    <row r="111" spans="1:2" x14ac:dyDescent="0.25">
      <c r="A111">
        <v>110</v>
      </c>
      <c r="B111">
        <v>6</v>
      </c>
    </row>
    <row r="112" spans="1:2" x14ac:dyDescent="0.25">
      <c r="A112">
        <v>111</v>
      </c>
      <c r="B112">
        <v>9</v>
      </c>
    </row>
    <row r="113" spans="1:2" x14ac:dyDescent="0.25">
      <c r="A113">
        <v>112</v>
      </c>
      <c r="B113">
        <v>6</v>
      </c>
    </row>
    <row r="114" spans="1:2" x14ac:dyDescent="0.25">
      <c r="A114">
        <v>113</v>
      </c>
      <c r="B114">
        <v>8</v>
      </c>
    </row>
    <row r="115" spans="1:2" x14ac:dyDescent="0.25">
      <c r="A115">
        <v>114</v>
      </c>
      <c r="B115">
        <v>5</v>
      </c>
    </row>
    <row r="116" spans="1:2" x14ac:dyDescent="0.25">
      <c r="A116">
        <v>115</v>
      </c>
      <c r="B116">
        <v>11</v>
      </c>
    </row>
    <row r="117" spans="1:2" x14ac:dyDescent="0.25">
      <c r="A117">
        <v>116</v>
      </c>
      <c r="B117">
        <v>11</v>
      </c>
    </row>
    <row r="118" spans="1:2" x14ac:dyDescent="0.25">
      <c r="A118">
        <v>117</v>
      </c>
      <c r="B118">
        <v>11</v>
      </c>
    </row>
    <row r="119" spans="1:2" x14ac:dyDescent="0.25">
      <c r="A119">
        <v>118</v>
      </c>
      <c r="B119">
        <v>5</v>
      </c>
    </row>
    <row r="120" spans="1:2" x14ac:dyDescent="0.25">
      <c r="A120">
        <v>119</v>
      </c>
      <c r="B120">
        <v>7</v>
      </c>
    </row>
    <row r="121" spans="1:2" x14ac:dyDescent="0.25">
      <c r="A121">
        <v>120</v>
      </c>
      <c r="B121">
        <v>12</v>
      </c>
    </row>
    <row r="122" spans="1:2" x14ac:dyDescent="0.25">
      <c r="A122">
        <v>121</v>
      </c>
      <c r="B122">
        <v>9</v>
      </c>
    </row>
    <row r="123" spans="1:2" x14ac:dyDescent="0.25">
      <c r="A123">
        <v>122</v>
      </c>
      <c r="B123">
        <v>14</v>
      </c>
    </row>
    <row r="124" spans="1:2" x14ac:dyDescent="0.25">
      <c r="A124">
        <v>123</v>
      </c>
      <c r="B124">
        <v>8</v>
      </c>
    </row>
    <row r="125" spans="1:2" x14ac:dyDescent="0.25">
      <c r="A125">
        <v>124</v>
      </c>
      <c r="B125">
        <v>8</v>
      </c>
    </row>
    <row r="126" spans="1:2" x14ac:dyDescent="0.25">
      <c r="A126">
        <v>125</v>
      </c>
      <c r="B126">
        <v>7</v>
      </c>
    </row>
    <row r="127" spans="1:2" x14ac:dyDescent="0.25">
      <c r="A127">
        <v>126</v>
      </c>
      <c r="B127">
        <v>8</v>
      </c>
    </row>
    <row r="128" spans="1:2" x14ac:dyDescent="0.25">
      <c r="A128">
        <v>127</v>
      </c>
      <c r="B128">
        <v>11</v>
      </c>
    </row>
    <row r="129" spans="1:2" x14ac:dyDescent="0.25">
      <c r="A129">
        <v>128</v>
      </c>
      <c r="B129">
        <v>13</v>
      </c>
    </row>
    <row r="130" spans="1:2" x14ac:dyDescent="0.25">
      <c r="A130">
        <v>129</v>
      </c>
      <c r="B130">
        <v>3</v>
      </c>
    </row>
    <row r="131" spans="1:2" x14ac:dyDescent="0.25">
      <c r="A131">
        <v>130</v>
      </c>
      <c r="B131">
        <v>1</v>
      </c>
    </row>
    <row r="132" spans="1:2" x14ac:dyDescent="0.25">
      <c r="A132">
        <v>131</v>
      </c>
      <c r="B132">
        <v>6</v>
      </c>
    </row>
    <row r="133" spans="1:2" x14ac:dyDescent="0.25">
      <c r="A133">
        <v>132</v>
      </c>
      <c r="B133">
        <v>10</v>
      </c>
    </row>
    <row r="134" spans="1:2" x14ac:dyDescent="0.25">
      <c r="A134">
        <v>133</v>
      </c>
      <c r="B134">
        <v>5</v>
      </c>
    </row>
    <row r="135" spans="1:2" x14ac:dyDescent="0.25">
      <c r="A135">
        <v>134</v>
      </c>
      <c r="B135">
        <v>8</v>
      </c>
    </row>
    <row r="136" spans="1:2" x14ac:dyDescent="0.25">
      <c r="A136">
        <v>135</v>
      </c>
      <c r="B136">
        <v>12</v>
      </c>
    </row>
    <row r="137" spans="1:2" x14ac:dyDescent="0.25">
      <c r="A137">
        <v>136</v>
      </c>
      <c r="B137">
        <v>8</v>
      </c>
    </row>
    <row r="138" spans="1:2" x14ac:dyDescent="0.25">
      <c r="A138">
        <v>137</v>
      </c>
      <c r="B138">
        <v>6</v>
      </c>
    </row>
    <row r="139" spans="1:2" x14ac:dyDescent="0.25">
      <c r="A139">
        <v>138</v>
      </c>
      <c r="B139">
        <v>8</v>
      </c>
    </row>
    <row r="140" spans="1:2" x14ac:dyDescent="0.25">
      <c r="A140">
        <v>139</v>
      </c>
      <c r="B140">
        <v>6</v>
      </c>
    </row>
    <row r="141" spans="1:2" x14ac:dyDescent="0.25">
      <c r="A141">
        <v>140</v>
      </c>
      <c r="B141">
        <v>6</v>
      </c>
    </row>
    <row r="142" spans="1:2" x14ac:dyDescent="0.25">
      <c r="A142">
        <v>141</v>
      </c>
      <c r="B142">
        <v>7</v>
      </c>
    </row>
    <row r="143" spans="1:2" x14ac:dyDescent="0.25">
      <c r="A143">
        <v>142</v>
      </c>
      <c r="B143">
        <v>8</v>
      </c>
    </row>
    <row r="144" spans="1:2" x14ac:dyDescent="0.25">
      <c r="A144">
        <v>143</v>
      </c>
      <c r="B144">
        <v>12</v>
      </c>
    </row>
    <row r="145" spans="1:2" x14ac:dyDescent="0.25">
      <c r="A145">
        <v>144</v>
      </c>
      <c r="B145">
        <v>6</v>
      </c>
    </row>
    <row r="146" spans="1:2" x14ac:dyDescent="0.25">
      <c r="A146">
        <v>145</v>
      </c>
      <c r="B146">
        <v>12</v>
      </c>
    </row>
    <row r="147" spans="1:2" x14ac:dyDescent="0.25">
      <c r="A147">
        <v>146</v>
      </c>
      <c r="B147">
        <v>6</v>
      </c>
    </row>
    <row r="148" spans="1:2" x14ac:dyDescent="0.25">
      <c r="A148">
        <v>147</v>
      </c>
      <c r="B148">
        <v>12</v>
      </c>
    </row>
    <row r="149" spans="1:2" x14ac:dyDescent="0.25">
      <c r="A149">
        <v>148</v>
      </c>
      <c r="B149">
        <v>4</v>
      </c>
    </row>
    <row r="150" spans="1:2" x14ac:dyDescent="0.25">
      <c r="A150">
        <v>149</v>
      </c>
      <c r="B150">
        <v>5</v>
      </c>
    </row>
    <row r="151" spans="1:2" x14ac:dyDescent="0.25">
      <c r="A151">
        <v>150</v>
      </c>
      <c r="B151">
        <v>11</v>
      </c>
    </row>
    <row r="152" spans="1:2" x14ac:dyDescent="0.25">
      <c r="A152">
        <v>151</v>
      </c>
      <c r="B152">
        <v>11</v>
      </c>
    </row>
    <row r="153" spans="1:2" x14ac:dyDescent="0.25">
      <c r="A153">
        <v>152</v>
      </c>
      <c r="B153">
        <v>6</v>
      </c>
    </row>
    <row r="154" spans="1:2" x14ac:dyDescent="0.25">
      <c r="A154">
        <v>153</v>
      </c>
      <c r="B154">
        <v>7</v>
      </c>
    </row>
    <row r="155" spans="1:2" x14ac:dyDescent="0.25">
      <c r="A155">
        <v>154</v>
      </c>
      <c r="B155">
        <v>6</v>
      </c>
    </row>
    <row r="156" spans="1:2" x14ac:dyDescent="0.25">
      <c r="A156">
        <v>155</v>
      </c>
      <c r="B156">
        <v>10</v>
      </c>
    </row>
    <row r="157" spans="1:2" x14ac:dyDescent="0.25">
      <c r="A157">
        <v>156</v>
      </c>
      <c r="B157">
        <v>7</v>
      </c>
    </row>
    <row r="158" spans="1:2" x14ac:dyDescent="0.25">
      <c r="A158">
        <v>157</v>
      </c>
      <c r="B158">
        <v>8</v>
      </c>
    </row>
    <row r="159" spans="1:2" x14ac:dyDescent="0.25">
      <c r="A159">
        <v>158</v>
      </c>
      <c r="B159">
        <v>6</v>
      </c>
    </row>
    <row r="160" spans="1:2" x14ac:dyDescent="0.25">
      <c r="A160">
        <v>159</v>
      </c>
      <c r="B160">
        <v>15</v>
      </c>
    </row>
    <row r="161" spans="1:2" x14ac:dyDescent="0.25">
      <c r="A161">
        <v>160</v>
      </c>
      <c r="B161">
        <v>5</v>
      </c>
    </row>
    <row r="162" spans="1:2" x14ac:dyDescent="0.25">
      <c r="A162">
        <v>161</v>
      </c>
      <c r="B162">
        <v>6</v>
      </c>
    </row>
    <row r="163" spans="1:2" x14ac:dyDescent="0.25">
      <c r="A163">
        <v>162</v>
      </c>
      <c r="B163">
        <v>7</v>
      </c>
    </row>
    <row r="164" spans="1:2" x14ac:dyDescent="0.25">
      <c r="A164">
        <v>163</v>
      </c>
      <c r="B164">
        <v>8</v>
      </c>
    </row>
    <row r="165" spans="1:2" x14ac:dyDescent="0.25">
      <c r="A165">
        <v>164</v>
      </c>
      <c r="B165">
        <v>10</v>
      </c>
    </row>
    <row r="166" spans="1:2" x14ac:dyDescent="0.25">
      <c r="A166">
        <v>165</v>
      </c>
      <c r="B166">
        <v>8</v>
      </c>
    </row>
    <row r="167" spans="1:2" x14ac:dyDescent="0.25">
      <c r="A167">
        <v>166</v>
      </c>
      <c r="B167">
        <v>9</v>
      </c>
    </row>
    <row r="168" spans="1:2" x14ac:dyDescent="0.25">
      <c r="A168">
        <v>167</v>
      </c>
      <c r="B168">
        <v>8</v>
      </c>
    </row>
    <row r="169" spans="1:2" x14ac:dyDescent="0.25">
      <c r="A169">
        <v>168</v>
      </c>
      <c r="B169">
        <v>16</v>
      </c>
    </row>
    <row r="170" spans="1:2" x14ac:dyDescent="0.25">
      <c r="A170">
        <v>169</v>
      </c>
      <c r="B170">
        <v>8</v>
      </c>
    </row>
    <row r="171" spans="1:2" x14ac:dyDescent="0.25">
      <c r="A171">
        <v>170</v>
      </c>
      <c r="B171">
        <v>9</v>
      </c>
    </row>
    <row r="172" spans="1:2" x14ac:dyDescent="0.25">
      <c r="A172">
        <v>171</v>
      </c>
      <c r="B172">
        <v>6</v>
      </c>
    </row>
    <row r="173" spans="1:2" x14ac:dyDescent="0.25">
      <c r="A173">
        <v>172</v>
      </c>
      <c r="B173">
        <v>9</v>
      </c>
    </row>
    <row r="174" spans="1:2" x14ac:dyDescent="0.25">
      <c r="A174">
        <v>173</v>
      </c>
      <c r="B174">
        <v>7</v>
      </c>
    </row>
    <row r="175" spans="1:2" x14ac:dyDescent="0.25">
      <c r="A175">
        <v>174</v>
      </c>
      <c r="B175">
        <v>14</v>
      </c>
    </row>
    <row r="176" spans="1:2" x14ac:dyDescent="0.25">
      <c r="A176">
        <v>175</v>
      </c>
      <c r="B176">
        <v>7</v>
      </c>
    </row>
    <row r="177" spans="1:2" x14ac:dyDescent="0.25">
      <c r="A177">
        <v>176</v>
      </c>
      <c r="B177">
        <v>13</v>
      </c>
    </row>
    <row r="178" spans="1:2" x14ac:dyDescent="0.25">
      <c r="A178">
        <v>177</v>
      </c>
      <c r="B178">
        <v>7</v>
      </c>
    </row>
    <row r="179" spans="1:2" x14ac:dyDescent="0.25">
      <c r="A179">
        <v>178</v>
      </c>
      <c r="B179">
        <v>8</v>
      </c>
    </row>
    <row r="180" spans="1:2" x14ac:dyDescent="0.25">
      <c r="A180">
        <v>179</v>
      </c>
      <c r="B180">
        <v>10</v>
      </c>
    </row>
    <row r="181" spans="1:2" x14ac:dyDescent="0.25">
      <c r="A181">
        <v>180</v>
      </c>
      <c r="B181">
        <v>6</v>
      </c>
    </row>
    <row r="182" spans="1:2" x14ac:dyDescent="0.25">
      <c r="A182">
        <v>181</v>
      </c>
      <c r="B182">
        <v>9</v>
      </c>
    </row>
    <row r="183" spans="1:2" x14ac:dyDescent="0.25">
      <c r="A183">
        <v>182</v>
      </c>
      <c r="B183">
        <v>9</v>
      </c>
    </row>
    <row r="184" spans="1:2" x14ac:dyDescent="0.25">
      <c r="A184">
        <v>183</v>
      </c>
      <c r="B184">
        <v>8</v>
      </c>
    </row>
    <row r="185" spans="1:2" x14ac:dyDescent="0.25">
      <c r="A185">
        <v>184</v>
      </c>
      <c r="B185">
        <v>6</v>
      </c>
    </row>
    <row r="186" spans="1:2" x14ac:dyDescent="0.25">
      <c r="A186">
        <v>185</v>
      </c>
      <c r="B186">
        <v>8</v>
      </c>
    </row>
    <row r="187" spans="1:2" x14ac:dyDescent="0.25">
      <c r="A187">
        <v>186</v>
      </c>
      <c r="B187">
        <v>14</v>
      </c>
    </row>
    <row r="188" spans="1:2" x14ac:dyDescent="0.25">
      <c r="A188">
        <v>187</v>
      </c>
      <c r="B188">
        <v>8</v>
      </c>
    </row>
    <row r="189" spans="1:2" x14ac:dyDescent="0.25">
      <c r="A189">
        <v>188</v>
      </c>
      <c r="B189">
        <v>13</v>
      </c>
    </row>
    <row r="190" spans="1:2" x14ac:dyDescent="0.25">
      <c r="A190">
        <v>189</v>
      </c>
      <c r="B190">
        <v>13</v>
      </c>
    </row>
    <row r="191" spans="1:2" x14ac:dyDescent="0.25">
      <c r="A191">
        <v>190</v>
      </c>
      <c r="B191">
        <v>7</v>
      </c>
    </row>
    <row r="192" spans="1:2" x14ac:dyDescent="0.25">
      <c r="A192">
        <v>191</v>
      </c>
      <c r="B192">
        <v>9</v>
      </c>
    </row>
    <row r="193" spans="1:2" x14ac:dyDescent="0.25">
      <c r="A193">
        <v>192</v>
      </c>
      <c r="B193">
        <v>8</v>
      </c>
    </row>
    <row r="194" spans="1:2" x14ac:dyDescent="0.25">
      <c r="A194">
        <v>193</v>
      </c>
      <c r="B194">
        <v>12</v>
      </c>
    </row>
    <row r="195" spans="1:2" x14ac:dyDescent="0.25">
      <c r="A195">
        <v>194</v>
      </c>
      <c r="B195">
        <v>4</v>
      </c>
    </row>
    <row r="196" spans="1:2" x14ac:dyDescent="0.25">
      <c r="A196">
        <v>195</v>
      </c>
      <c r="B196">
        <v>11</v>
      </c>
    </row>
    <row r="197" spans="1:2" x14ac:dyDescent="0.25">
      <c r="A197">
        <v>196</v>
      </c>
      <c r="B197">
        <v>6</v>
      </c>
    </row>
    <row r="198" spans="1:2" x14ac:dyDescent="0.25">
      <c r="A198">
        <v>197</v>
      </c>
      <c r="B198">
        <v>10</v>
      </c>
    </row>
    <row r="199" spans="1:2" x14ac:dyDescent="0.25">
      <c r="A199">
        <v>198</v>
      </c>
      <c r="B199">
        <v>10</v>
      </c>
    </row>
    <row r="200" spans="1:2" x14ac:dyDescent="0.25">
      <c r="A200">
        <v>199</v>
      </c>
      <c r="B200">
        <v>6</v>
      </c>
    </row>
    <row r="201" spans="1:2" x14ac:dyDescent="0.25">
      <c r="A201">
        <v>200</v>
      </c>
      <c r="B201">
        <v>12</v>
      </c>
    </row>
    <row r="202" spans="1:2" x14ac:dyDescent="0.25">
      <c r="A202">
        <v>201</v>
      </c>
      <c r="B202">
        <v>8</v>
      </c>
    </row>
    <row r="203" spans="1:2" x14ac:dyDescent="0.25">
      <c r="A203">
        <v>202</v>
      </c>
      <c r="B203">
        <v>1</v>
      </c>
    </row>
    <row r="204" spans="1:2" x14ac:dyDescent="0.25">
      <c r="A204">
        <v>203</v>
      </c>
      <c r="B204">
        <v>6</v>
      </c>
    </row>
    <row r="205" spans="1:2" x14ac:dyDescent="0.25">
      <c r="A205">
        <v>204</v>
      </c>
      <c r="B205">
        <v>12</v>
      </c>
    </row>
    <row r="206" spans="1:2" x14ac:dyDescent="0.25">
      <c r="A206">
        <v>205</v>
      </c>
      <c r="B206">
        <v>12</v>
      </c>
    </row>
    <row r="207" spans="1:2" x14ac:dyDescent="0.25">
      <c r="A207">
        <v>206</v>
      </c>
      <c r="B207">
        <v>13</v>
      </c>
    </row>
    <row r="208" spans="1:2" x14ac:dyDescent="0.25">
      <c r="A208">
        <v>207</v>
      </c>
      <c r="B208">
        <v>7</v>
      </c>
    </row>
    <row r="209" spans="1:2" x14ac:dyDescent="0.25">
      <c r="A209">
        <v>208</v>
      </c>
      <c r="B209">
        <v>4</v>
      </c>
    </row>
    <row r="210" spans="1:2" x14ac:dyDescent="0.25">
      <c r="A210">
        <v>209</v>
      </c>
      <c r="B210">
        <v>3</v>
      </c>
    </row>
    <row r="211" spans="1:2" x14ac:dyDescent="0.25">
      <c r="A211">
        <v>210</v>
      </c>
      <c r="B211">
        <v>8</v>
      </c>
    </row>
    <row r="212" spans="1:2" x14ac:dyDescent="0.25">
      <c r="A212">
        <v>211</v>
      </c>
      <c r="B212">
        <v>10</v>
      </c>
    </row>
    <row r="213" spans="1:2" x14ac:dyDescent="0.25">
      <c r="A213">
        <v>212</v>
      </c>
      <c r="B213">
        <v>6</v>
      </c>
    </row>
    <row r="214" spans="1:2" x14ac:dyDescent="0.25">
      <c r="A214">
        <v>213</v>
      </c>
      <c r="B214">
        <v>10</v>
      </c>
    </row>
    <row r="215" spans="1:2" x14ac:dyDescent="0.25">
      <c r="A215">
        <v>214</v>
      </c>
      <c r="B215">
        <v>8</v>
      </c>
    </row>
    <row r="216" spans="1:2" x14ac:dyDescent="0.25">
      <c r="A216">
        <v>215</v>
      </c>
      <c r="B216">
        <v>8</v>
      </c>
    </row>
    <row r="217" spans="1:2" x14ac:dyDescent="0.25">
      <c r="A217">
        <v>216</v>
      </c>
      <c r="B217">
        <v>10</v>
      </c>
    </row>
    <row r="218" spans="1:2" x14ac:dyDescent="0.25">
      <c r="A218">
        <v>217</v>
      </c>
      <c r="B218">
        <v>10</v>
      </c>
    </row>
    <row r="219" spans="1:2" x14ac:dyDescent="0.25">
      <c r="A219">
        <v>218</v>
      </c>
      <c r="B219">
        <v>10</v>
      </c>
    </row>
    <row r="220" spans="1:2" x14ac:dyDescent="0.25">
      <c r="A220">
        <v>219</v>
      </c>
      <c r="B220">
        <v>8</v>
      </c>
    </row>
    <row r="221" spans="1:2" x14ac:dyDescent="0.25">
      <c r="A221">
        <v>220</v>
      </c>
      <c r="B221">
        <v>8</v>
      </c>
    </row>
    <row r="222" spans="1:2" x14ac:dyDescent="0.25">
      <c r="A222">
        <v>221</v>
      </c>
      <c r="B222">
        <v>5</v>
      </c>
    </row>
    <row r="223" spans="1:2" x14ac:dyDescent="0.25">
      <c r="A223">
        <v>222</v>
      </c>
      <c r="B223">
        <v>6</v>
      </c>
    </row>
    <row r="224" spans="1:2" x14ac:dyDescent="0.25">
      <c r="A224">
        <v>223</v>
      </c>
      <c r="B224">
        <v>5</v>
      </c>
    </row>
    <row r="225" spans="1:2" x14ac:dyDescent="0.25">
      <c r="A225">
        <v>224</v>
      </c>
      <c r="B225">
        <v>6</v>
      </c>
    </row>
    <row r="226" spans="1:2" x14ac:dyDescent="0.25">
      <c r="A226">
        <v>225</v>
      </c>
      <c r="B226">
        <v>10</v>
      </c>
    </row>
    <row r="227" spans="1:2" x14ac:dyDescent="0.25">
      <c r="A227">
        <v>226</v>
      </c>
      <c r="B227">
        <v>5</v>
      </c>
    </row>
    <row r="228" spans="1:2" x14ac:dyDescent="0.25">
      <c r="A228">
        <v>227</v>
      </c>
      <c r="B228">
        <v>7</v>
      </c>
    </row>
    <row r="229" spans="1:2" x14ac:dyDescent="0.25">
      <c r="A229">
        <v>228</v>
      </c>
      <c r="B229">
        <v>9</v>
      </c>
    </row>
    <row r="230" spans="1:2" x14ac:dyDescent="0.25">
      <c r="A230">
        <v>229</v>
      </c>
      <c r="B230">
        <v>9</v>
      </c>
    </row>
    <row r="231" spans="1:2" x14ac:dyDescent="0.25">
      <c r="A231">
        <v>230</v>
      </c>
      <c r="B231">
        <v>7</v>
      </c>
    </row>
    <row r="232" spans="1:2" x14ac:dyDescent="0.25">
      <c r="A232">
        <v>231</v>
      </c>
      <c r="B232">
        <v>8</v>
      </c>
    </row>
    <row r="233" spans="1:2" x14ac:dyDescent="0.25">
      <c r="A233">
        <v>232</v>
      </c>
      <c r="B233">
        <v>9</v>
      </c>
    </row>
    <row r="234" spans="1:2" x14ac:dyDescent="0.25">
      <c r="A234">
        <v>233</v>
      </c>
      <c r="B234">
        <v>7</v>
      </c>
    </row>
    <row r="235" spans="1:2" x14ac:dyDescent="0.25">
      <c r="A235">
        <v>234</v>
      </c>
      <c r="B235">
        <v>4</v>
      </c>
    </row>
    <row r="236" spans="1:2" x14ac:dyDescent="0.25">
      <c r="A236">
        <v>235</v>
      </c>
      <c r="B236">
        <v>4</v>
      </c>
    </row>
    <row r="237" spans="1:2" x14ac:dyDescent="0.25">
      <c r="A237">
        <v>236</v>
      </c>
      <c r="B237">
        <v>4</v>
      </c>
    </row>
    <row r="238" spans="1:2" x14ac:dyDescent="0.25">
      <c r="A238">
        <v>237</v>
      </c>
      <c r="B238">
        <v>16</v>
      </c>
    </row>
    <row r="239" spans="1:2" x14ac:dyDescent="0.25">
      <c r="A239">
        <v>238</v>
      </c>
      <c r="B239">
        <v>9</v>
      </c>
    </row>
    <row r="240" spans="1:2" x14ac:dyDescent="0.25">
      <c r="A240">
        <v>239</v>
      </c>
      <c r="B240">
        <v>5</v>
      </c>
    </row>
    <row r="241" spans="1:2" x14ac:dyDescent="0.25">
      <c r="A241">
        <v>240</v>
      </c>
      <c r="B241">
        <v>10</v>
      </c>
    </row>
    <row r="242" spans="1:2" x14ac:dyDescent="0.25">
      <c r="A242">
        <v>241</v>
      </c>
      <c r="B242">
        <v>11</v>
      </c>
    </row>
    <row r="243" spans="1:2" x14ac:dyDescent="0.25">
      <c r="A243">
        <v>242</v>
      </c>
      <c r="B243">
        <v>7</v>
      </c>
    </row>
    <row r="244" spans="1:2" x14ac:dyDescent="0.25">
      <c r="A244">
        <v>243</v>
      </c>
      <c r="B244">
        <v>7</v>
      </c>
    </row>
    <row r="245" spans="1:2" x14ac:dyDescent="0.25">
      <c r="A245">
        <v>244</v>
      </c>
      <c r="B245">
        <v>7</v>
      </c>
    </row>
    <row r="246" spans="1:2" x14ac:dyDescent="0.25">
      <c r="A246">
        <v>245</v>
      </c>
      <c r="B246">
        <v>10</v>
      </c>
    </row>
    <row r="247" spans="1:2" x14ac:dyDescent="0.25">
      <c r="A247">
        <v>246</v>
      </c>
      <c r="B247">
        <v>7</v>
      </c>
    </row>
    <row r="248" spans="1:2" x14ac:dyDescent="0.25">
      <c r="A248">
        <v>247</v>
      </c>
      <c r="B248">
        <v>9</v>
      </c>
    </row>
    <row r="249" spans="1:2" x14ac:dyDescent="0.25">
      <c r="A249">
        <v>248</v>
      </c>
      <c r="B249">
        <v>6</v>
      </c>
    </row>
    <row r="250" spans="1:2" x14ac:dyDescent="0.25">
      <c r="A250">
        <v>249</v>
      </c>
      <c r="B250">
        <v>12</v>
      </c>
    </row>
    <row r="251" spans="1:2" x14ac:dyDescent="0.25">
      <c r="A251">
        <v>250</v>
      </c>
      <c r="B251">
        <v>9</v>
      </c>
    </row>
    <row r="252" spans="1:2" x14ac:dyDescent="0.25">
      <c r="A252">
        <v>251</v>
      </c>
      <c r="B252">
        <v>11</v>
      </c>
    </row>
    <row r="253" spans="1:2" x14ac:dyDescent="0.25">
      <c r="A253">
        <v>252</v>
      </c>
      <c r="B253">
        <v>7</v>
      </c>
    </row>
    <row r="254" spans="1:2" x14ac:dyDescent="0.25">
      <c r="A254">
        <v>253</v>
      </c>
      <c r="B254">
        <v>7</v>
      </c>
    </row>
    <row r="255" spans="1:2" x14ac:dyDescent="0.25">
      <c r="A255">
        <v>254</v>
      </c>
      <c r="B255">
        <v>1</v>
      </c>
    </row>
    <row r="256" spans="1:2" x14ac:dyDescent="0.25">
      <c r="A256">
        <v>255</v>
      </c>
      <c r="B256">
        <v>12</v>
      </c>
    </row>
    <row r="257" spans="1:2" x14ac:dyDescent="0.25">
      <c r="A257">
        <v>256</v>
      </c>
      <c r="B257">
        <v>8</v>
      </c>
    </row>
    <row r="258" spans="1:2" x14ac:dyDescent="0.25">
      <c r="A258">
        <v>257</v>
      </c>
      <c r="B258">
        <v>5</v>
      </c>
    </row>
    <row r="259" spans="1:2" x14ac:dyDescent="0.25">
      <c r="A259">
        <v>258</v>
      </c>
      <c r="B259">
        <v>10</v>
      </c>
    </row>
    <row r="260" spans="1:2" x14ac:dyDescent="0.25">
      <c r="A260">
        <v>259</v>
      </c>
      <c r="B260">
        <v>5</v>
      </c>
    </row>
    <row r="261" spans="1:2" x14ac:dyDescent="0.25">
      <c r="A261">
        <v>260</v>
      </c>
      <c r="B261">
        <v>5</v>
      </c>
    </row>
    <row r="262" spans="1:2" x14ac:dyDescent="0.25">
      <c r="A262">
        <v>261</v>
      </c>
      <c r="B262">
        <v>9</v>
      </c>
    </row>
    <row r="263" spans="1:2" x14ac:dyDescent="0.25">
      <c r="A263">
        <v>262</v>
      </c>
      <c r="B263">
        <v>8</v>
      </c>
    </row>
    <row r="264" spans="1:2" x14ac:dyDescent="0.25">
      <c r="A264">
        <v>263</v>
      </c>
      <c r="B264">
        <v>6</v>
      </c>
    </row>
    <row r="265" spans="1:2" x14ac:dyDescent="0.25">
      <c r="A265">
        <v>264</v>
      </c>
      <c r="B265">
        <v>7</v>
      </c>
    </row>
    <row r="266" spans="1:2" x14ac:dyDescent="0.25">
      <c r="A266">
        <v>265</v>
      </c>
      <c r="B266">
        <v>5</v>
      </c>
    </row>
    <row r="267" spans="1:2" x14ac:dyDescent="0.25">
      <c r="A267">
        <v>266</v>
      </c>
      <c r="B267">
        <v>6</v>
      </c>
    </row>
    <row r="268" spans="1:2" x14ac:dyDescent="0.25">
      <c r="A268">
        <v>267</v>
      </c>
      <c r="B268">
        <v>10</v>
      </c>
    </row>
    <row r="269" spans="1:2" x14ac:dyDescent="0.25">
      <c r="A269">
        <v>268</v>
      </c>
      <c r="B269">
        <v>9</v>
      </c>
    </row>
    <row r="270" spans="1:2" x14ac:dyDescent="0.25">
      <c r="A270">
        <v>269</v>
      </c>
      <c r="B270">
        <v>5</v>
      </c>
    </row>
    <row r="271" spans="1:2" x14ac:dyDescent="0.25">
      <c r="A271">
        <v>270</v>
      </c>
      <c r="B271">
        <v>14</v>
      </c>
    </row>
    <row r="272" spans="1:2" x14ac:dyDescent="0.25">
      <c r="A272">
        <v>271</v>
      </c>
      <c r="B272">
        <v>7</v>
      </c>
    </row>
    <row r="273" spans="1:2" x14ac:dyDescent="0.25">
      <c r="A273">
        <v>272</v>
      </c>
      <c r="B273">
        <v>11</v>
      </c>
    </row>
    <row r="274" spans="1:2" x14ac:dyDescent="0.25">
      <c r="A274">
        <v>273</v>
      </c>
      <c r="B274">
        <v>10</v>
      </c>
    </row>
    <row r="275" spans="1:2" x14ac:dyDescent="0.25">
      <c r="A275">
        <v>274</v>
      </c>
      <c r="B275">
        <v>7</v>
      </c>
    </row>
    <row r="276" spans="1:2" x14ac:dyDescent="0.25">
      <c r="A276">
        <v>275</v>
      </c>
      <c r="B276">
        <v>9</v>
      </c>
    </row>
    <row r="277" spans="1:2" x14ac:dyDescent="0.25">
      <c r="A277">
        <v>276</v>
      </c>
      <c r="B277">
        <v>8</v>
      </c>
    </row>
    <row r="278" spans="1:2" x14ac:dyDescent="0.25">
      <c r="A278">
        <v>277</v>
      </c>
      <c r="B278">
        <v>8</v>
      </c>
    </row>
    <row r="279" spans="1:2" x14ac:dyDescent="0.25">
      <c r="A279">
        <v>278</v>
      </c>
      <c r="B279">
        <v>8</v>
      </c>
    </row>
    <row r="280" spans="1:2" x14ac:dyDescent="0.25">
      <c r="A280">
        <v>279</v>
      </c>
      <c r="B280">
        <v>6</v>
      </c>
    </row>
    <row r="281" spans="1:2" x14ac:dyDescent="0.25">
      <c r="A281">
        <v>280</v>
      </c>
      <c r="B281">
        <v>11</v>
      </c>
    </row>
    <row r="282" spans="1:2" x14ac:dyDescent="0.25">
      <c r="A282">
        <v>281</v>
      </c>
      <c r="B282">
        <v>7</v>
      </c>
    </row>
    <row r="283" spans="1:2" x14ac:dyDescent="0.25">
      <c r="A283">
        <v>282</v>
      </c>
      <c r="B283">
        <v>7</v>
      </c>
    </row>
    <row r="284" spans="1:2" x14ac:dyDescent="0.25">
      <c r="A284">
        <v>283</v>
      </c>
      <c r="B284">
        <v>7</v>
      </c>
    </row>
    <row r="285" spans="1:2" x14ac:dyDescent="0.25">
      <c r="A285">
        <v>284</v>
      </c>
      <c r="B285">
        <v>8</v>
      </c>
    </row>
    <row r="286" spans="1:2" x14ac:dyDescent="0.25">
      <c r="A286">
        <v>285</v>
      </c>
      <c r="B286">
        <v>7</v>
      </c>
    </row>
    <row r="287" spans="1:2" x14ac:dyDescent="0.25">
      <c r="A287">
        <v>286</v>
      </c>
      <c r="B287">
        <v>7</v>
      </c>
    </row>
    <row r="288" spans="1:2" x14ac:dyDescent="0.25">
      <c r="A288">
        <v>287</v>
      </c>
      <c r="B288">
        <v>3</v>
      </c>
    </row>
    <row r="289" spans="1:2" x14ac:dyDescent="0.25">
      <c r="A289">
        <v>288</v>
      </c>
      <c r="B289">
        <v>9</v>
      </c>
    </row>
    <row r="290" spans="1:2" x14ac:dyDescent="0.25">
      <c r="A290">
        <v>289</v>
      </c>
      <c r="B290">
        <v>8</v>
      </c>
    </row>
    <row r="291" spans="1:2" x14ac:dyDescent="0.25">
      <c r="A291">
        <v>290</v>
      </c>
      <c r="B291">
        <v>10</v>
      </c>
    </row>
    <row r="292" spans="1:2" x14ac:dyDescent="0.25">
      <c r="A292">
        <v>291</v>
      </c>
      <c r="B292">
        <v>13</v>
      </c>
    </row>
    <row r="293" spans="1:2" x14ac:dyDescent="0.25">
      <c r="A293">
        <v>292</v>
      </c>
      <c r="B293">
        <v>11</v>
      </c>
    </row>
    <row r="294" spans="1:2" x14ac:dyDescent="0.25">
      <c r="A294">
        <v>293</v>
      </c>
      <c r="B294">
        <v>15</v>
      </c>
    </row>
    <row r="295" spans="1:2" x14ac:dyDescent="0.25">
      <c r="A295">
        <v>294</v>
      </c>
      <c r="B295">
        <v>8</v>
      </c>
    </row>
    <row r="296" spans="1:2" x14ac:dyDescent="0.25">
      <c r="A296">
        <v>295</v>
      </c>
      <c r="B296">
        <v>12</v>
      </c>
    </row>
    <row r="297" spans="1:2" x14ac:dyDescent="0.25">
      <c r="A297">
        <v>296</v>
      </c>
      <c r="B297">
        <v>9</v>
      </c>
    </row>
    <row r="298" spans="1:2" x14ac:dyDescent="0.25">
      <c r="A298">
        <v>297</v>
      </c>
      <c r="B298">
        <v>9</v>
      </c>
    </row>
    <row r="299" spans="1:2" x14ac:dyDescent="0.25">
      <c r="A299">
        <v>298</v>
      </c>
      <c r="B299">
        <v>10</v>
      </c>
    </row>
    <row r="300" spans="1:2" x14ac:dyDescent="0.25">
      <c r="A300">
        <v>299</v>
      </c>
      <c r="B300">
        <v>6</v>
      </c>
    </row>
    <row r="301" spans="1:2" x14ac:dyDescent="0.25">
      <c r="A301">
        <v>300</v>
      </c>
      <c r="B301">
        <v>9</v>
      </c>
    </row>
    <row r="302" spans="1:2" x14ac:dyDescent="0.25">
      <c r="A302">
        <v>301</v>
      </c>
      <c r="B302">
        <v>4</v>
      </c>
    </row>
    <row r="303" spans="1:2" x14ac:dyDescent="0.25">
      <c r="A303">
        <v>302</v>
      </c>
      <c r="B303">
        <v>8</v>
      </c>
    </row>
    <row r="304" spans="1:2" x14ac:dyDescent="0.25">
      <c r="A304">
        <v>303</v>
      </c>
      <c r="B304">
        <v>6</v>
      </c>
    </row>
    <row r="305" spans="1:2" x14ac:dyDescent="0.25">
      <c r="A305">
        <v>304</v>
      </c>
      <c r="B305">
        <v>12</v>
      </c>
    </row>
    <row r="306" spans="1:2" x14ac:dyDescent="0.25">
      <c r="A306">
        <v>305</v>
      </c>
      <c r="B306">
        <v>10</v>
      </c>
    </row>
    <row r="307" spans="1:2" x14ac:dyDescent="0.25">
      <c r="A307">
        <v>306</v>
      </c>
      <c r="B307">
        <v>7</v>
      </c>
    </row>
    <row r="308" spans="1:2" x14ac:dyDescent="0.25">
      <c r="A308">
        <v>307</v>
      </c>
      <c r="B308">
        <v>9</v>
      </c>
    </row>
    <row r="309" spans="1:2" x14ac:dyDescent="0.25">
      <c r="A309">
        <v>308</v>
      </c>
      <c r="B309">
        <v>12</v>
      </c>
    </row>
    <row r="310" spans="1:2" x14ac:dyDescent="0.25">
      <c r="A310">
        <v>309</v>
      </c>
      <c r="B310">
        <v>5</v>
      </c>
    </row>
    <row r="311" spans="1:2" x14ac:dyDescent="0.25">
      <c r="A311">
        <v>310</v>
      </c>
      <c r="B311">
        <v>5</v>
      </c>
    </row>
    <row r="312" spans="1:2" x14ac:dyDescent="0.25">
      <c r="A312">
        <v>311</v>
      </c>
      <c r="B312">
        <v>10</v>
      </c>
    </row>
    <row r="313" spans="1:2" x14ac:dyDescent="0.25">
      <c r="A313">
        <v>312</v>
      </c>
      <c r="B313">
        <v>11</v>
      </c>
    </row>
    <row r="314" spans="1:2" x14ac:dyDescent="0.25">
      <c r="A314">
        <v>313</v>
      </c>
      <c r="B314">
        <v>7</v>
      </c>
    </row>
    <row r="315" spans="1:2" x14ac:dyDescent="0.25">
      <c r="A315">
        <v>314</v>
      </c>
      <c r="B315">
        <v>13</v>
      </c>
    </row>
    <row r="316" spans="1:2" x14ac:dyDescent="0.25">
      <c r="A316">
        <v>315</v>
      </c>
      <c r="B316">
        <v>7</v>
      </c>
    </row>
    <row r="317" spans="1:2" x14ac:dyDescent="0.25">
      <c r="A317">
        <v>316</v>
      </c>
      <c r="B317">
        <v>4</v>
      </c>
    </row>
    <row r="318" spans="1:2" x14ac:dyDescent="0.25">
      <c r="A318">
        <v>317</v>
      </c>
      <c r="B318">
        <v>4</v>
      </c>
    </row>
    <row r="319" spans="1:2" x14ac:dyDescent="0.25">
      <c r="A319">
        <v>318</v>
      </c>
      <c r="B319">
        <v>5</v>
      </c>
    </row>
    <row r="320" spans="1:2" x14ac:dyDescent="0.25">
      <c r="A320">
        <v>319</v>
      </c>
      <c r="B320">
        <v>3</v>
      </c>
    </row>
    <row r="321" spans="1:2" x14ac:dyDescent="0.25">
      <c r="A321">
        <v>320</v>
      </c>
      <c r="B321">
        <v>9</v>
      </c>
    </row>
    <row r="322" spans="1:2" x14ac:dyDescent="0.25">
      <c r="A322">
        <v>321</v>
      </c>
      <c r="B322">
        <v>10</v>
      </c>
    </row>
    <row r="323" spans="1:2" x14ac:dyDescent="0.25">
      <c r="A323">
        <v>322</v>
      </c>
      <c r="B323">
        <v>7</v>
      </c>
    </row>
    <row r="324" spans="1:2" x14ac:dyDescent="0.25">
      <c r="A324">
        <v>323</v>
      </c>
      <c r="B324">
        <v>5</v>
      </c>
    </row>
    <row r="325" spans="1:2" x14ac:dyDescent="0.25">
      <c r="A325">
        <v>324</v>
      </c>
      <c r="B325">
        <v>12</v>
      </c>
    </row>
    <row r="326" spans="1:2" x14ac:dyDescent="0.25">
      <c r="A326">
        <v>325</v>
      </c>
      <c r="B326">
        <v>5</v>
      </c>
    </row>
    <row r="327" spans="1:2" x14ac:dyDescent="0.25">
      <c r="A327">
        <v>326</v>
      </c>
      <c r="B327">
        <v>10</v>
      </c>
    </row>
    <row r="328" spans="1:2" x14ac:dyDescent="0.25">
      <c r="A328">
        <v>327</v>
      </c>
      <c r="B328">
        <v>3</v>
      </c>
    </row>
    <row r="329" spans="1:2" x14ac:dyDescent="0.25">
      <c r="A329">
        <v>328</v>
      </c>
      <c r="B329">
        <v>9</v>
      </c>
    </row>
    <row r="330" spans="1:2" x14ac:dyDescent="0.25">
      <c r="A330">
        <v>329</v>
      </c>
      <c r="B330">
        <v>12</v>
      </c>
    </row>
    <row r="331" spans="1:2" x14ac:dyDescent="0.25">
      <c r="A331">
        <v>330</v>
      </c>
      <c r="B331">
        <v>4</v>
      </c>
    </row>
    <row r="332" spans="1:2" x14ac:dyDescent="0.25">
      <c r="A332">
        <v>331</v>
      </c>
      <c r="B332">
        <v>10</v>
      </c>
    </row>
    <row r="333" spans="1:2" x14ac:dyDescent="0.25">
      <c r="A333">
        <v>332</v>
      </c>
      <c r="B333">
        <v>8</v>
      </c>
    </row>
    <row r="334" spans="1:2" x14ac:dyDescent="0.25">
      <c r="A334">
        <v>333</v>
      </c>
      <c r="B334">
        <v>7</v>
      </c>
    </row>
    <row r="335" spans="1:2" x14ac:dyDescent="0.25">
      <c r="A335">
        <v>334</v>
      </c>
      <c r="B335">
        <v>9</v>
      </c>
    </row>
    <row r="336" spans="1:2" x14ac:dyDescent="0.25">
      <c r="A336">
        <v>335</v>
      </c>
      <c r="B336">
        <v>7</v>
      </c>
    </row>
    <row r="337" spans="1:2" x14ac:dyDescent="0.25">
      <c r="A337">
        <v>336</v>
      </c>
      <c r="B337">
        <v>5</v>
      </c>
    </row>
    <row r="338" spans="1:2" x14ac:dyDescent="0.25">
      <c r="A338">
        <v>337</v>
      </c>
      <c r="B338">
        <v>12</v>
      </c>
    </row>
    <row r="339" spans="1:2" x14ac:dyDescent="0.25">
      <c r="A339">
        <v>338</v>
      </c>
      <c r="B339">
        <v>9</v>
      </c>
    </row>
    <row r="340" spans="1:2" x14ac:dyDescent="0.25">
      <c r="A340">
        <v>339</v>
      </c>
      <c r="B340">
        <v>8</v>
      </c>
    </row>
    <row r="341" spans="1:2" x14ac:dyDescent="0.25">
      <c r="A341">
        <v>340</v>
      </c>
      <c r="B341">
        <v>11</v>
      </c>
    </row>
    <row r="342" spans="1:2" x14ac:dyDescent="0.25">
      <c r="A342">
        <v>341</v>
      </c>
      <c r="B342">
        <v>12</v>
      </c>
    </row>
    <row r="343" spans="1:2" x14ac:dyDescent="0.25">
      <c r="A343">
        <v>342</v>
      </c>
      <c r="B343">
        <v>5</v>
      </c>
    </row>
    <row r="344" spans="1:2" x14ac:dyDescent="0.25">
      <c r="A344">
        <v>343</v>
      </c>
      <c r="B344">
        <v>12</v>
      </c>
    </row>
    <row r="345" spans="1:2" x14ac:dyDescent="0.25">
      <c r="A345">
        <v>344</v>
      </c>
      <c r="B345">
        <v>6</v>
      </c>
    </row>
    <row r="346" spans="1:2" x14ac:dyDescent="0.25">
      <c r="A346">
        <v>345</v>
      </c>
      <c r="B346">
        <v>6</v>
      </c>
    </row>
    <row r="347" spans="1:2" x14ac:dyDescent="0.25">
      <c r="A347">
        <v>346</v>
      </c>
      <c r="B347">
        <v>8</v>
      </c>
    </row>
    <row r="348" spans="1:2" x14ac:dyDescent="0.25">
      <c r="A348">
        <v>347</v>
      </c>
      <c r="B348">
        <v>9</v>
      </c>
    </row>
    <row r="349" spans="1:2" x14ac:dyDescent="0.25">
      <c r="A349">
        <v>348</v>
      </c>
      <c r="B349">
        <v>2</v>
      </c>
    </row>
    <row r="350" spans="1:2" x14ac:dyDescent="0.25">
      <c r="A350">
        <v>349</v>
      </c>
      <c r="B350">
        <v>5</v>
      </c>
    </row>
    <row r="351" spans="1:2" x14ac:dyDescent="0.25">
      <c r="A351">
        <v>350</v>
      </c>
      <c r="B351">
        <v>9</v>
      </c>
    </row>
    <row r="352" spans="1:2" x14ac:dyDescent="0.25">
      <c r="A352">
        <v>351</v>
      </c>
      <c r="B352">
        <v>8</v>
      </c>
    </row>
    <row r="353" spans="1:2" x14ac:dyDescent="0.25">
      <c r="A353">
        <v>352</v>
      </c>
      <c r="B353">
        <v>5</v>
      </c>
    </row>
    <row r="354" spans="1:2" x14ac:dyDescent="0.25">
      <c r="A354">
        <v>353</v>
      </c>
      <c r="B354">
        <v>4</v>
      </c>
    </row>
    <row r="355" spans="1:2" x14ac:dyDescent="0.25">
      <c r="A355">
        <v>354</v>
      </c>
      <c r="B355">
        <v>4</v>
      </c>
    </row>
    <row r="356" spans="1:2" x14ac:dyDescent="0.25">
      <c r="A356">
        <v>355</v>
      </c>
      <c r="B356">
        <v>11</v>
      </c>
    </row>
    <row r="357" spans="1:2" x14ac:dyDescent="0.25">
      <c r="A357">
        <v>356</v>
      </c>
      <c r="B357">
        <v>3</v>
      </c>
    </row>
    <row r="358" spans="1:2" x14ac:dyDescent="0.25">
      <c r="A358">
        <v>357</v>
      </c>
      <c r="B358">
        <v>6</v>
      </c>
    </row>
    <row r="359" spans="1:2" x14ac:dyDescent="0.25">
      <c r="A359">
        <v>358</v>
      </c>
      <c r="B359">
        <v>4</v>
      </c>
    </row>
    <row r="360" spans="1:2" x14ac:dyDescent="0.25">
      <c r="A360">
        <v>359</v>
      </c>
      <c r="B360">
        <v>10</v>
      </c>
    </row>
    <row r="361" spans="1:2" x14ac:dyDescent="0.25">
      <c r="A361">
        <v>360</v>
      </c>
      <c r="B361">
        <v>4</v>
      </c>
    </row>
    <row r="362" spans="1:2" x14ac:dyDescent="0.25">
      <c r="A362">
        <v>361</v>
      </c>
      <c r="B362">
        <v>9</v>
      </c>
    </row>
    <row r="363" spans="1:2" x14ac:dyDescent="0.25">
      <c r="A363">
        <v>362</v>
      </c>
      <c r="B363">
        <v>8</v>
      </c>
    </row>
    <row r="364" spans="1:2" x14ac:dyDescent="0.25">
      <c r="A364">
        <v>363</v>
      </c>
      <c r="B364">
        <v>5</v>
      </c>
    </row>
    <row r="365" spans="1:2" x14ac:dyDescent="0.25">
      <c r="A365">
        <v>364</v>
      </c>
      <c r="B365">
        <v>6</v>
      </c>
    </row>
    <row r="366" spans="1:2" x14ac:dyDescent="0.25">
      <c r="A366">
        <v>365</v>
      </c>
      <c r="B366">
        <v>11</v>
      </c>
    </row>
    <row r="367" spans="1:2" x14ac:dyDescent="0.25">
      <c r="A367">
        <v>366</v>
      </c>
      <c r="B367">
        <v>4</v>
      </c>
    </row>
    <row r="368" spans="1:2" x14ac:dyDescent="0.25">
      <c r="A368">
        <v>367</v>
      </c>
      <c r="B368">
        <v>9</v>
      </c>
    </row>
    <row r="369" spans="1:2" x14ac:dyDescent="0.25">
      <c r="A369">
        <v>368</v>
      </c>
      <c r="B369">
        <v>9</v>
      </c>
    </row>
    <row r="370" spans="1:2" x14ac:dyDescent="0.25">
      <c r="A370">
        <v>369</v>
      </c>
      <c r="B370">
        <v>2</v>
      </c>
    </row>
    <row r="371" spans="1:2" x14ac:dyDescent="0.25">
      <c r="A371">
        <v>370</v>
      </c>
      <c r="B371">
        <v>7</v>
      </c>
    </row>
    <row r="372" spans="1:2" x14ac:dyDescent="0.25">
      <c r="A372">
        <v>371</v>
      </c>
      <c r="B372">
        <v>4</v>
      </c>
    </row>
    <row r="373" spans="1:2" x14ac:dyDescent="0.25">
      <c r="A373">
        <v>372</v>
      </c>
      <c r="B373">
        <v>11</v>
      </c>
    </row>
    <row r="374" spans="1:2" x14ac:dyDescent="0.25">
      <c r="A374">
        <v>373</v>
      </c>
      <c r="B374">
        <v>9</v>
      </c>
    </row>
    <row r="375" spans="1:2" x14ac:dyDescent="0.25">
      <c r="A375">
        <v>374</v>
      </c>
      <c r="B375">
        <v>7</v>
      </c>
    </row>
    <row r="376" spans="1:2" x14ac:dyDescent="0.25">
      <c r="A376">
        <v>375</v>
      </c>
      <c r="B376">
        <v>4</v>
      </c>
    </row>
    <row r="377" spans="1:2" x14ac:dyDescent="0.25">
      <c r="A377">
        <v>376</v>
      </c>
      <c r="B377">
        <v>11</v>
      </c>
    </row>
    <row r="378" spans="1:2" x14ac:dyDescent="0.25">
      <c r="A378">
        <v>377</v>
      </c>
      <c r="B378">
        <v>5</v>
      </c>
    </row>
    <row r="379" spans="1:2" x14ac:dyDescent="0.25">
      <c r="A379">
        <v>378</v>
      </c>
      <c r="B379">
        <v>6</v>
      </c>
    </row>
    <row r="380" spans="1:2" x14ac:dyDescent="0.25">
      <c r="A380">
        <v>379</v>
      </c>
      <c r="B380">
        <v>12</v>
      </c>
    </row>
    <row r="381" spans="1:2" x14ac:dyDescent="0.25">
      <c r="A381">
        <v>380</v>
      </c>
      <c r="B381">
        <v>6</v>
      </c>
    </row>
    <row r="382" spans="1:2" x14ac:dyDescent="0.25">
      <c r="A382">
        <v>381</v>
      </c>
      <c r="B382">
        <v>10</v>
      </c>
    </row>
    <row r="383" spans="1:2" x14ac:dyDescent="0.25">
      <c r="A383">
        <v>382</v>
      </c>
      <c r="B383">
        <v>6</v>
      </c>
    </row>
    <row r="384" spans="1:2" x14ac:dyDescent="0.25">
      <c r="A384">
        <v>383</v>
      </c>
      <c r="B384">
        <v>10</v>
      </c>
    </row>
    <row r="385" spans="1:2" x14ac:dyDescent="0.25">
      <c r="A385">
        <v>384</v>
      </c>
      <c r="B385">
        <v>8</v>
      </c>
    </row>
    <row r="386" spans="1:2" x14ac:dyDescent="0.25">
      <c r="A386">
        <v>385</v>
      </c>
      <c r="B386">
        <v>6</v>
      </c>
    </row>
    <row r="387" spans="1:2" x14ac:dyDescent="0.25">
      <c r="A387">
        <v>386</v>
      </c>
      <c r="B387">
        <v>6</v>
      </c>
    </row>
    <row r="388" spans="1:2" x14ac:dyDescent="0.25">
      <c r="A388">
        <v>387</v>
      </c>
      <c r="B388">
        <v>7</v>
      </c>
    </row>
    <row r="389" spans="1:2" x14ac:dyDescent="0.25">
      <c r="A389">
        <v>388</v>
      </c>
      <c r="B389">
        <v>6</v>
      </c>
    </row>
    <row r="390" spans="1:2" x14ac:dyDescent="0.25">
      <c r="A390">
        <v>389</v>
      </c>
      <c r="B390">
        <v>14</v>
      </c>
    </row>
    <row r="391" spans="1:2" x14ac:dyDescent="0.25">
      <c r="A391">
        <v>390</v>
      </c>
      <c r="B391">
        <v>8</v>
      </c>
    </row>
    <row r="392" spans="1:2" x14ac:dyDescent="0.25">
      <c r="A392">
        <v>391</v>
      </c>
      <c r="B392">
        <v>10</v>
      </c>
    </row>
    <row r="393" spans="1:2" x14ac:dyDescent="0.25">
      <c r="A393">
        <v>392</v>
      </c>
      <c r="B393">
        <v>17</v>
      </c>
    </row>
    <row r="394" spans="1:2" x14ac:dyDescent="0.25">
      <c r="A394">
        <v>393</v>
      </c>
      <c r="B394">
        <v>6</v>
      </c>
    </row>
    <row r="395" spans="1:2" x14ac:dyDescent="0.25">
      <c r="A395">
        <v>394</v>
      </c>
      <c r="B395">
        <v>3</v>
      </c>
    </row>
    <row r="396" spans="1:2" x14ac:dyDescent="0.25">
      <c r="A396">
        <v>395</v>
      </c>
      <c r="B396">
        <v>7</v>
      </c>
    </row>
    <row r="397" spans="1:2" x14ac:dyDescent="0.25">
      <c r="A397">
        <v>396</v>
      </c>
      <c r="B397">
        <v>11</v>
      </c>
    </row>
    <row r="398" spans="1:2" x14ac:dyDescent="0.25">
      <c r="A398">
        <v>397</v>
      </c>
      <c r="B398">
        <v>13</v>
      </c>
    </row>
    <row r="399" spans="1:2" x14ac:dyDescent="0.25">
      <c r="A399">
        <v>398</v>
      </c>
      <c r="B399">
        <v>9</v>
      </c>
    </row>
    <row r="400" spans="1:2" x14ac:dyDescent="0.25">
      <c r="A400">
        <v>399</v>
      </c>
      <c r="B400">
        <v>11</v>
      </c>
    </row>
    <row r="401" spans="1:2" x14ac:dyDescent="0.25">
      <c r="A401">
        <v>400</v>
      </c>
      <c r="B40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1"/>
  <sheetViews>
    <sheetView zoomScale="95" workbookViewId="0">
      <selection activeCell="E10" sqref="E10"/>
    </sheetView>
  </sheetViews>
  <sheetFormatPr defaultRowHeight="15" x14ac:dyDescent="0.25"/>
  <cols>
    <col min="1" max="1" width="17" customWidth="1"/>
    <col min="2" max="2" width="16.7109375" customWidth="1"/>
    <col min="5" max="5" width="9.140625" style="3"/>
    <col min="6" max="6" width="17" customWidth="1"/>
    <col min="7" max="7" width="16.85546875" customWidth="1"/>
    <col min="10" max="10" width="9.140625" style="3"/>
    <col min="11" max="11" width="17" customWidth="1"/>
    <col min="12" max="12" width="16.85546875" customWidth="1"/>
    <col min="15" max="15" width="9.140625" style="5"/>
    <col min="16" max="16" width="18" customWidth="1"/>
    <col min="17" max="17" width="18.140625" customWidth="1"/>
    <col min="20" max="20" width="9.140625" style="3"/>
    <col min="21" max="21" width="18" customWidth="1"/>
    <col min="22" max="22" width="17.85546875" customWidth="1"/>
  </cols>
  <sheetData>
    <row r="1" spans="1:24" s="1" customFormat="1" x14ac:dyDescent="0.25">
      <c r="A1" s="1" t="s">
        <v>0</v>
      </c>
      <c r="B1" s="1" t="s">
        <v>5</v>
      </c>
      <c r="C1" s="1" t="s">
        <v>32</v>
      </c>
      <c r="D1" s="1" t="s">
        <v>30</v>
      </c>
      <c r="E1" s="2"/>
      <c r="F1" s="1" t="s">
        <v>1</v>
      </c>
      <c r="G1" s="1" t="s">
        <v>6</v>
      </c>
      <c r="H1" s="1" t="s">
        <v>32</v>
      </c>
      <c r="I1" s="1" t="s">
        <v>30</v>
      </c>
      <c r="J1" s="2"/>
      <c r="K1" s="1" t="s">
        <v>2</v>
      </c>
      <c r="L1" s="1" t="s">
        <v>7</v>
      </c>
      <c r="M1" s="1" t="s">
        <v>32</v>
      </c>
      <c r="N1" s="1" t="s">
        <v>30</v>
      </c>
      <c r="O1" s="4"/>
      <c r="P1" s="1" t="s">
        <v>3</v>
      </c>
      <c r="Q1" s="1" t="s">
        <v>8</v>
      </c>
      <c r="R1" s="1" t="s">
        <v>32</v>
      </c>
      <c r="S1" s="1" t="s">
        <v>30</v>
      </c>
      <c r="T1" s="2"/>
      <c r="U1" s="1" t="s">
        <v>4</v>
      </c>
      <c r="V1" s="1" t="s">
        <v>9</v>
      </c>
      <c r="W1" s="1" t="s">
        <v>32</v>
      </c>
      <c r="X1" s="1" t="s">
        <v>30</v>
      </c>
    </row>
    <row r="2" spans="1:24" x14ac:dyDescent="0.25">
      <c r="A2">
        <v>392</v>
      </c>
      <c r="B2">
        <v>17</v>
      </c>
      <c r="C2">
        <v>223</v>
      </c>
      <c r="D2">
        <v>5</v>
      </c>
      <c r="F2">
        <v>352</v>
      </c>
      <c r="G2">
        <v>5</v>
      </c>
      <c r="H2">
        <v>88</v>
      </c>
      <c r="I2">
        <v>4</v>
      </c>
      <c r="K2">
        <v>375</v>
      </c>
      <c r="L2">
        <v>4</v>
      </c>
      <c r="M2">
        <v>84</v>
      </c>
      <c r="N2">
        <v>2</v>
      </c>
      <c r="P2">
        <v>19</v>
      </c>
      <c r="Q2">
        <v>8</v>
      </c>
      <c r="R2">
        <v>84</v>
      </c>
      <c r="S2">
        <v>2</v>
      </c>
      <c r="U2">
        <v>37</v>
      </c>
      <c r="V2">
        <v>12</v>
      </c>
      <c r="W2">
        <v>202</v>
      </c>
      <c r="X2">
        <v>1</v>
      </c>
    </row>
    <row r="3" spans="1:24" x14ac:dyDescent="0.25">
      <c r="A3">
        <v>294</v>
      </c>
      <c r="B3">
        <v>8</v>
      </c>
      <c r="C3">
        <v>294</v>
      </c>
      <c r="D3">
        <v>8</v>
      </c>
      <c r="F3">
        <v>229</v>
      </c>
      <c r="G3">
        <v>9</v>
      </c>
      <c r="H3">
        <v>97</v>
      </c>
      <c r="I3">
        <v>4</v>
      </c>
      <c r="K3">
        <v>43</v>
      </c>
      <c r="L3">
        <v>15</v>
      </c>
      <c r="M3">
        <v>375</v>
      </c>
      <c r="N3">
        <v>4</v>
      </c>
      <c r="P3">
        <v>396</v>
      </c>
      <c r="Q3">
        <v>11</v>
      </c>
      <c r="R3">
        <v>31</v>
      </c>
      <c r="S3">
        <v>3</v>
      </c>
      <c r="U3">
        <v>378</v>
      </c>
      <c r="V3">
        <v>6</v>
      </c>
      <c r="W3">
        <v>130</v>
      </c>
      <c r="X3">
        <v>1</v>
      </c>
    </row>
    <row r="4" spans="1:24" x14ac:dyDescent="0.25">
      <c r="A4">
        <v>350</v>
      </c>
      <c r="B4">
        <v>9</v>
      </c>
      <c r="C4">
        <v>124</v>
      </c>
      <c r="D4">
        <v>8</v>
      </c>
      <c r="F4">
        <v>147</v>
      </c>
      <c r="G4">
        <v>12</v>
      </c>
      <c r="H4">
        <v>235</v>
      </c>
      <c r="I4">
        <v>4</v>
      </c>
      <c r="K4">
        <v>268</v>
      </c>
      <c r="L4">
        <v>9</v>
      </c>
      <c r="M4">
        <v>208</v>
      </c>
      <c r="N4">
        <v>4</v>
      </c>
      <c r="P4">
        <v>354</v>
      </c>
      <c r="Q4">
        <v>4</v>
      </c>
      <c r="R4">
        <v>87</v>
      </c>
      <c r="S4">
        <v>3</v>
      </c>
      <c r="U4">
        <v>365</v>
      </c>
      <c r="V4">
        <v>11</v>
      </c>
      <c r="W4">
        <v>254</v>
      </c>
      <c r="X4">
        <v>1</v>
      </c>
    </row>
    <row r="5" spans="1:24" x14ac:dyDescent="0.25">
      <c r="A5">
        <v>343</v>
      </c>
      <c r="B5">
        <v>12</v>
      </c>
      <c r="C5">
        <v>350</v>
      </c>
      <c r="D5">
        <v>9</v>
      </c>
      <c r="F5">
        <v>2</v>
      </c>
      <c r="G5">
        <v>10</v>
      </c>
      <c r="H5">
        <v>352</v>
      </c>
      <c r="I5">
        <v>5</v>
      </c>
      <c r="K5">
        <v>300</v>
      </c>
      <c r="L5">
        <v>9</v>
      </c>
      <c r="M5">
        <v>72</v>
      </c>
      <c r="N5">
        <v>4</v>
      </c>
      <c r="P5">
        <v>119</v>
      </c>
      <c r="Q5">
        <v>7</v>
      </c>
      <c r="R5">
        <v>354</v>
      </c>
      <c r="S5">
        <v>4</v>
      </c>
      <c r="U5">
        <v>97</v>
      </c>
      <c r="V5">
        <v>4</v>
      </c>
      <c r="W5">
        <v>369</v>
      </c>
      <c r="X5">
        <v>2</v>
      </c>
    </row>
    <row r="6" spans="1:24" x14ac:dyDescent="0.25">
      <c r="A6">
        <v>379</v>
      </c>
      <c r="B6">
        <v>12</v>
      </c>
      <c r="C6">
        <v>343</v>
      </c>
      <c r="D6">
        <v>12</v>
      </c>
      <c r="F6">
        <v>255</v>
      </c>
      <c r="G6">
        <v>12</v>
      </c>
      <c r="H6">
        <v>239</v>
      </c>
      <c r="I6">
        <v>5</v>
      </c>
      <c r="K6">
        <v>67</v>
      </c>
      <c r="L6">
        <v>5</v>
      </c>
      <c r="M6">
        <v>97</v>
      </c>
      <c r="N6">
        <v>4</v>
      </c>
      <c r="P6">
        <v>31</v>
      </c>
      <c r="Q6">
        <v>3</v>
      </c>
      <c r="R6">
        <v>194</v>
      </c>
      <c r="S6">
        <v>4</v>
      </c>
      <c r="U6">
        <v>278</v>
      </c>
      <c r="V6">
        <v>8</v>
      </c>
      <c r="W6">
        <v>209</v>
      </c>
      <c r="X6">
        <v>3</v>
      </c>
    </row>
    <row r="7" spans="1:24" x14ac:dyDescent="0.25">
      <c r="A7">
        <v>176</v>
      </c>
      <c r="B7">
        <v>13</v>
      </c>
      <c r="C7">
        <v>379</v>
      </c>
      <c r="D7">
        <v>12</v>
      </c>
      <c r="F7">
        <v>351</v>
      </c>
      <c r="G7">
        <v>8</v>
      </c>
      <c r="H7">
        <v>55</v>
      </c>
      <c r="I7">
        <v>5</v>
      </c>
      <c r="K7">
        <v>298</v>
      </c>
      <c r="L7">
        <v>10</v>
      </c>
      <c r="M7">
        <v>301</v>
      </c>
      <c r="N7">
        <v>4</v>
      </c>
      <c r="P7">
        <v>152</v>
      </c>
      <c r="Q7">
        <v>6</v>
      </c>
      <c r="R7">
        <v>236</v>
      </c>
      <c r="S7">
        <v>4</v>
      </c>
      <c r="U7">
        <v>147</v>
      </c>
      <c r="V7">
        <v>12</v>
      </c>
      <c r="W7">
        <v>394</v>
      </c>
      <c r="X7">
        <v>3</v>
      </c>
    </row>
    <row r="8" spans="1:24" x14ac:dyDescent="0.25">
      <c r="A8">
        <v>186</v>
      </c>
      <c r="B8">
        <v>14</v>
      </c>
      <c r="C8">
        <v>176</v>
      </c>
      <c r="D8">
        <v>13</v>
      </c>
      <c r="F8">
        <v>239</v>
      </c>
      <c r="G8">
        <v>5</v>
      </c>
      <c r="H8">
        <v>203</v>
      </c>
      <c r="I8">
        <v>6</v>
      </c>
      <c r="K8">
        <v>84</v>
      </c>
      <c r="L8">
        <v>2</v>
      </c>
      <c r="M8">
        <v>67</v>
      </c>
      <c r="N8">
        <v>5</v>
      </c>
      <c r="P8">
        <v>79</v>
      </c>
      <c r="Q8">
        <v>14</v>
      </c>
      <c r="R8">
        <v>148</v>
      </c>
      <c r="S8">
        <v>4</v>
      </c>
      <c r="U8">
        <v>163</v>
      </c>
      <c r="V8">
        <v>8</v>
      </c>
      <c r="W8">
        <v>356</v>
      </c>
      <c r="X8">
        <v>3</v>
      </c>
    </row>
    <row r="9" spans="1:24" x14ac:dyDescent="0.25">
      <c r="A9">
        <v>96</v>
      </c>
      <c r="B9">
        <v>13</v>
      </c>
      <c r="C9">
        <v>96</v>
      </c>
      <c r="D9">
        <v>13</v>
      </c>
      <c r="F9">
        <v>7</v>
      </c>
      <c r="G9">
        <v>9</v>
      </c>
      <c r="H9">
        <v>382</v>
      </c>
      <c r="I9">
        <v>6</v>
      </c>
      <c r="K9">
        <v>291</v>
      </c>
      <c r="L9">
        <v>13</v>
      </c>
      <c r="M9">
        <v>51</v>
      </c>
      <c r="N9">
        <v>5</v>
      </c>
      <c r="P9">
        <v>183</v>
      </c>
      <c r="Q9">
        <v>8</v>
      </c>
      <c r="R9">
        <v>316</v>
      </c>
      <c r="S9">
        <v>4</v>
      </c>
      <c r="U9">
        <v>36</v>
      </c>
      <c r="V9">
        <v>7</v>
      </c>
      <c r="W9">
        <v>129</v>
      </c>
      <c r="X9">
        <v>3</v>
      </c>
    </row>
    <row r="10" spans="1:24" x14ac:dyDescent="0.25">
      <c r="A10">
        <v>223</v>
      </c>
      <c r="B10">
        <v>5</v>
      </c>
      <c r="C10">
        <v>186</v>
      </c>
      <c r="D10">
        <v>14</v>
      </c>
      <c r="F10">
        <v>176</v>
      </c>
      <c r="G10">
        <v>13</v>
      </c>
      <c r="H10">
        <v>139</v>
      </c>
      <c r="I10">
        <v>6</v>
      </c>
      <c r="K10">
        <v>188</v>
      </c>
      <c r="L10">
        <v>13</v>
      </c>
      <c r="M10">
        <v>23</v>
      </c>
      <c r="N10">
        <v>5</v>
      </c>
      <c r="P10">
        <v>13</v>
      </c>
      <c r="Q10">
        <v>10</v>
      </c>
      <c r="R10">
        <v>317</v>
      </c>
      <c r="S10">
        <v>4</v>
      </c>
      <c r="U10">
        <v>17</v>
      </c>
      <c r="V10">
        <v>6</v>
      </c>
      <c r="W10">
        <v>327</v>
      </c>
      <c r="X10">
        <v>3</v>
      </c>
    </row>
    <row r="11" spans="1:24" x14ac:dyDescent="0.25">
      <c r="A11">
        <v>124</v>
      </c>
      <c r="B11">
        <v>8</v>
      </c>
      <c r="C11">
        <v>392</v>
      </c>
      <c r="D11">
        <v>17</v>
      </c>
      <c r="F11">
        <v>156</v>
      </c>
      <c r="G11">
        <v>7</v>
      </c>
      <c r="H11">
        <v>95</v>
      </c>
      <c r="I11">
        <v>6</v>
      </c>
      <c r="K11">
        <v>208</v>
      </c>
      <c r="L11">
        <v>4</v>
      </c>
      <c r="M11">
        <v>309</v>
      </c>
      <c r="N11">
        <v>5</v>
      </c>
      <c r="P11">
        <v>359</v>
      </c>
      <c r="Q11">
        <v>10</v>
      </c>
      <c r="R11">
        <v>353</v>
      </c>
      <c r="S11">
        <v>4</v>
      </c>
      <c r="U11">
        <v>397</v>
      </c>
      <c r="V11">
        <v>13</v>
      </c>
      <c r="W11">
        <v>31</v>
      </c>
      <c r="X11">
        <v>3</v>
      </c>
    </row>
    <row r="12" spans="1:24" x14ac:dyDescent="0.25">
      <c r="F12">
        <v>203</v>
      </c>
      <c r="G12">
        <v>6</v>
      </c>
      <c r="H12">
        <v>156</v>
      </c>
      <c r="I12">
        <v>7</v>
      </c>
      <c r="K12">
        <v>111</v>
      </c>
      <c r="L12">
        <v>9</v>
      </c>
      <c r="M12">
        <v>82</v>
      </c>
      <c r="N12">
        <v>5</v>
      </c>
      <c r="P12">
        <v>305</v>
      </c>
      <c r="Q12">
        <v>10</v>
      </c>
      <c r="R12">
        <v>260</v>
      </c>
      <c r="S12">
        <v>5</v>
      </c>
      <c r="U12">
        <v>158</v>
      </c>
      <c r="V12">
        <v>6</v>
      </c>
      <c r="W12">
        <v>97</v>
      </c>
      <c r="X12">
        <v>4</v>
      </c>
    </row>
    <row r="13" spans="1:24" x14ac:dyDescent="0.25">
      <c r="F13">
        <v>128</v>
      </c>
      <c r="G13">
        <v>13</v>
      </c>
      <c r="H13">
        <v>242</v>
      </c>
      <c r="I13">
        <v>7</v>
      </c>
      <c r="K13">
        <v>51</v>
      </c>
      <c r="L13">
        <v>5</v>
      </c>
      <c r="M13">
        <v>118</v>
      </c>
      <c r="N13">
        <v>5</v>
      </c>
      <c r="P13">
        <v>241</v>
      </c>
      <c r="Q13">
        <v>11</v>
      </c>
      <c r="R13">
        <v>323</v>
      </c>
      <c r="S13">
        <v>5</v>
      </c>
      <c r="U13">
        <v>298</v>
      </c>
      <c r="V13">
        <v>10</v>
      </c>
      <c r="W13">
        <v>194</v>
      </c>
      <c r="X13">
        <v>4</v>
      </c>
    </row>
    <row r="14" spans="1:24" x14ac:dyDescent="0.25">
      <c r="F14">
        <v>292</v>
      </c>
      <c r="G14">
        <v>11</v>
      </c>
      <c r="H14">
        <v>190</v>
      </c>
      <c r="I14">
        <v>7</v>
      </c>
      <c r="K14">
        <v>362</v>
      </c>
      <c r="L14">
        <v>8</v>
      </c>
      <c r="M14">
        <v>171</v>
      </c>
      <c r="N14">
        <v>6</v>
      </c>
      <c r="P14">
        <v>263</v>
      </c>
      <c r="Q14">
        <v>6</v>
      </c>
      <c r="R14">
        <v>257</v>
      </c>
      <c r="S14">
        <v>5</v>
      </c>
      <c r="U14">
        <v>146</v>
      </c>
      <c r="V14">
        <v>6</v>
      </c>
      <c r="W14">
        <v>148</v>
      </c>
      <c r="X14">
        <v>4</v>
      </c>
    </row>
    <row r="15" spans="1:24" x14ac:dyDescent="0.25">
      <c r="F15">
        <v>382</v>
      </c>
      <c r="G15">
        <v>6</v>
      </c>
      <c r="H15">
        <v>77</v>
      </c>
      <c r="I15">
        <v>7</v>
      </c>
      <c r="K15">
        <v>98</v>
      </c>
      <c r="L15">
        <v>9</v>
      </c>
      <c r="M15">
        <v>344</v>
      </c>
      <c r="N15">
        <v>6</v>
      </c>
      <c r="P15">
        <v>194</v>
      </c>
      <c r="Q15">
        <v>4</v>
      </c>
      <c r="R15">
        <v>58</v>
      </c>
      <c r="S15">
        <v>5</v>
      </c>
      <c r="U15">
        <v>389</v>
      </c>
      <c r="V15">
        <v>14</v>
      </c>
      <c r="W15">
        <v>81</v>
      </c>
      <c r="X15">
        <v>4</v>
      </c>
    </row>
    <row r="16" spans="1:24" x14ac:dyDescent="0.25">
      <c r="F16">
        <v>88</v>
      </c>
      <c r="G16">
        <v>4</v>
      </c>
      <c r="H16">
        <v>351</v>
      </c>
      <c r="I16">
        <v>8</v>
      </c>
      <c r="K16">
        <v>150</v>
      </c>
      <c r="L16">
        <v>11</v>
      </c>
      <c r="M16">
        <v>152</v>
      </c>
      <c r="N16">
        <v>6</v>
      </c>
      <c r="P16">
        <v>225</v>
      </c>
      <c r="Q16">
        <v>10</v>
      </c>
      <c r="R16">
        <v>118</v>
      </c>
      <c r="S16">
        <v>5</v>
      </c>
      <c r="U16">
        <v>357</v>
      </c>
      <c r="V16">
        <v>6</v>
      </c>
      <c r="W16">
        <v>353</v>
      </c>
      <c r="X16">
        <v>4</v>
      </c>
    </row>
    <row r="17" spans="6:24" x14ac:dyDescent="0.25">
      <c r="F17">
        <v>242</v>
      </c>
      <c r="G17">
        <v>7</v>
      </c>
      <c r="H17">
        <v>277</v>
      </c>
      <c r="I17">
        <v>8</v>
      </c>
      <c r="K17">
        <v>23</v>
      </c>
      <c r="L17">
        <v>5</v>
      </c>
      <c r="M17">
        <v>199</v>
      </c>
      <c r="N17">
        <v>6</v>
      </c>
      <c r="P17">
        <v>346</v>
      </c>
      <c r="Q17">
        <v>8</v>
      </c>
      <c r="R17">
        <v>223</v>
      </c>
      <c r="S17">
        <v>5</v>
      </c>
      <c r="U17">
        <v>293</v>
      </c>
      <c r="V17">
        <v>15</v>
      </c>
      <c r="W17">
        <v>316</v>
      </c>
      <c r="X17">
        <v>4</v>
      </c>
    </row>
    <row r="18" spans="6:24" x14ac:dyDescent="0.25">
      <c r="F18">
        <v>55</v>
      </c>
      <c r="G18">
        <v>5</v>
      </c>
      <c r="H18">
        <v>362</v>
      </c>
      <c r="I18">
        <v>8</v>
      </c>
      <c r="K18">
        <v>124</v>
      </c>
      <c r="L18">
        <v>8</v>
      </c>
      <c r="M18">
        <v>80</v>
      </c>
      <c r="N18">
        <v>6</v>
      </c>
      <c r="P18">
        <v>169</v>
      </c>
      <c r="Q18">
        <v>8</v>
      </c>
      <c r="R18">
        <v>226</v>
      </c>
      <c r="S18">
        <v>5</v>
      </c>
      <c r="U18">
        <v>209</v>
      </c>
      <c r="V18">
        <v>3</v>
      </c>
      <c r="W18">
        <v>358</v>
      </c>
      <c r="X18">
        <v>4</v>
      </c>
    </row>
    <row r="19" spans="6:24" x14ac:dyDescent="0.25">
      <c r="F19">
        <v>139</v>
      </c>
      <c r="G19">
        <v>6</v>
      </c>
      <c r="H19">
        <v>229</v>
      </c>
      <c r="I19">
        <v>9</v>
      </c>
      <c r="K19">
        <v>216</v>
      </c>
      <c r="L19">
        <v>10</v>
      </c>
      <c r="M19">
        <v>92</v>
      </c>
      <c r="N19">
        <v>7</v>
      </c>
      <c r="P19">
        <v>197</v>
      </c>
      <c r="Q19">
        <v>10</v>
      </c>
      <c r="R19">
        <v>349</v>
      </c>
      <c r="S19">
        <v>5</v>
      </c>
      <c r="U19">
        <v>154</v>
      </c>
      <c r="V19">
        <v>6</v>
      </c>
      <c r="W19">
        <v>371</v>
      </c>
      <c r="X19">
        <v>4</v>
      </c>
    </row>
    <row r="20" spans="6:24" x14ac:dyDescent="0.25">
      <c r="F20">
        <v>97</v>
      </c>
      <c r="G20">
        <v>4</v>
      </c>
      <c r="H20">
        <v>7</v>
      </c>
      <c r="I20">
        <v>9</v>
      </c>
      <c r="K20">
        <v>171</v>
      </c>
      <c r="L20">
        <v>6</v>
      </c>
      <c r="M20">
        <v>362</v>
      </c>
      <c r="N20">
        <v>8</v>
      </c>
      <c r="P20">
        <v>68</v>
      </c>
      <c r="Q20">
        <v>18</v>
      </c>
      <c r="R20">
        <v>55</v>
      </c>
      <c r="S20">
        <v>5</v>
      </c>
      <c r="U20">
        <v>190</v>
      </c>
      <c r="V20">
        <v>7</v>
      </c>
      <c r="W20">
        <v>310</v>
      </c>
      <c r="X20">
        <v>5</v>
      </c>
    </row>
    <row r="21" spans="6:24" x14ac:dyDescent="0.25">
      <c r="F21">
        <v>277</v>
      </c>
      <c r="G21">
        <v>8</v>
      </c>
      <c r="H21">
        <v>2</v>
      </c>
      <c r="I21">
        <v>10</v>
      </c>
      <c r="K21">
        <v>241</v>
      </c>
      <c r="L21">
        <v>11</v>
      </c>
      <c r="M21">
        <v>124</v>
      </c>
      <c r="N21">
        <v>8</v>
      </c>
      <c r="P21">
        <v>251</v>
      </c>
      <c r="Q21">
        <v>11</v>
      </c>
      <c r="R21">
        <v>336</v>
      </c>
      <c r="S21">
        <v>5</v>
      </c>
      <c r="U21">
        <v>47</v>
      </c>
      <c r="V21">
        <v>6</v>
      </c>
      <c r="W21">
        <v>76</v>
      </c>
      <c r="X21">
        <v>5</v>
      </c>
    </row>
    <row r="22" spans="6:24" x14ac:dyDescent="0.25">
      <c r="F22">
        <v>95</v>
      </c>
      <c r="G22">
        <v>6</v>
      </c>
      <c r="H22">
        <v>292</v>
      </c>
      <c r="I22">
        <v>11</v>
      </c>
      <c r="K22">
        <v>309</v>
      </c>
      <c r="L22">
        <v>5</v>
      </c>
      <c r="M22">
        <v>136</v>
      </c>
      <c r="N22">
        <v>8</v>
      </c>
      <c r="P22">
        <v>236</v>
      </c>
      <c r="Q22">
        <v>4</v>
      </c>
      <c r="R22">
        <v>318</v>
      </c>
      <c r="S22">
        <v>5</v>
      </c>
      <c r="U22">
        <v>262</v>
      </c>
      <c r="V22">
        <v>8</v>
      </c>
      <c r="W22">
        <v>309</v>
      </c>
      <c r="X22">
        <v>5</v>
      </c>
    </row>
    <row r="23" spans="6:24" x14ac:dyDescent="0.25">
      <c r="F23">
        <v>235</v>
      </c>
      <c r="G23">
        <v>4</v>
      </c>
      <c r="H23">
        <v>147</v>
      </c>
      <c r="I23">
        <v>12</v>
      </c>
      <c r="K23">
        <v>168</v>
      </c>
      <c r="L23">
        <v>16</v>
      </c>
      <c r="M23">
        <v>185</v>
      </c>
      <c r="N23">
        <v>8</v>
      </c>
      <c r="P23">
        <v>260</v>
      </c>
      <c r="Q23">
        <v>5</v>
      </c>
      <c r="R23">
        <v>265</v>
      </c>
      <c r="S23">
        <v>5</v>
      </c>
      <c r="U23">
        <v>216</v>
      </c>
      <c r="V23">
        <v>10</v>
      </c>
      <c r="W23">
        <v>349</v>
      </c>
      <c r="X23">
        <v>5</v>
      </c>
    </row>
    <row r="24" spans="6:24" x14ac:dyDescent="0.25">
      <c r="F24">
        <v>362</v>
      </c>
      <c r="G24">
        <v>8</v>
      </c>
      <c r="H24">
        <v>255</v>
      </c>
      <c r="I24">
        <v>12</v>
      </c>
      <c r="K24">
        <v>82</v>
      </c>
      <c r="L24">
        <v>5</v>
      </c>
      <c r="M24">
        <v>214</v>
      </c>
      <c r="N24">
        <v>8</v>
      </c>
      <c r="P24">
        <v>101</v>
      </c>
      <c r="Q24">
        <v>10</v>
      </c>
      <c r="R24">
        <v>239</v>
      </c>
      <c r="S24">
        <v>5</v>
      </c>
      <c r="U24">
        <v>28</v>
      </c>
      <c r="V24">
        <v>10</v>
      </c>
      <c r="W24">
        <v>48</v>
      </c>
      <c r="X24">
        <v>5</v>
      </c>
    </row>
    <row r="25" spans="6:24" x14ac:dyDescent="0.25">
      <c r="F25">
        <v>190</v>
      </c>
      <c r="G25">
        <v>7</v>
      </c>
      <c r="H25">
        <v>176</v>
      </c>
      <c r="I25">
        <v>13</v>
      </c>
      <c r="K25">
        <v>12</v>
      </c>
      <c r="L25">
        <v>12</v>
      </c>
      <c r="M25">
        <v>169</v>
      </c>
      <c r="N25">
        <v>8</v>
      </c>
      <c r="P25">
        <v>148</v>
      </c>
      <c r="Q25">
        <v>4</v>
      </c>
      <c r="R25">
        <v>14</v>
      </c>
      <c r="S25">
        <v>5</v>
      </c>
      <c r="U25">
        <v>89</v>
      </c>
      <c r="V25">
        <v>6</v>
      </c>
      <c r="W25">
        <v>67</v>
      </c>
      <c r="X25">
        <v>5</v>
      </c>
    </row>
    <row r="26" spans="6:24" x14ac:dyDescent="0.25">
      <c r="F26">
        <v>77</v>
      </c>
      <c r="G26">
        <v>7</v>
      </c>
      <c r="H26">
        <v>128</v>
      </c>
      <c r="I26">
        <v>13</v>
      </c>
      <c r="K26">
        <v>344</v>
      </c>
      <c r="L26">
        <v>6</v>
      </c>
      <c r="M26">
        <v>27</v>
      </c>
      <c r="N26">
        <v>8</v>
      </c>
      <c r="P26">
        <v>78</v>
      </c>
      <c r="Q26">
        <v>10</v>
      </c>
      <c r="R26">
        <v>310</v>
      </c>
      <c r="S26">
        <v>5</v>
      </c>
      <c r="U26">
        <v>361</v>
      </c>
      <c r="V26">
        <v>9</v>
      </c>
      <c r="W26">
        <v>259</v>
      </c>
      <c r="X26">
        <v>5</v>
      </c>
    </row>
    <row r="27" spans="6:24" x14ac:dyDescent="0.25">
      <c r="K27">
        <v>152</v>
      </c>
      <c r="L27">
        <v>6</v>
      </c>
      <c r="M27">
        <v>278</v>
      </c>
      <c r="N27">
        <v>8</v>
      </c>
      <c r="P27">
        <v>316</v>
      </c>
      <c r="Q27">
        <v>4</v>
      </c>
      <c r="R27">
        <v>152</v>
      </c>
      <c r="S27">
        <v>6</v>
      </c>
      <c r="U27">
        <v>173</v>
      </c>
      <c r="V27">
        <v>7</v>
      </c>
      <c r="W27">
        <v>223</v>
      </c>
      <c r="X27">
        <v>5</v>
      </c>
    </row>
    <row r="28" spans="6:24" x14ac:dyDescent="0.25">
      <c r="K28">
        <v>136</v>
      </c>
      <c r="L28">
        <v>8</v>
      </c>
      <c r="M28">
        <v>215</v>
      </c>
      <c r="N28">
        <v>8</v>
      </c>
      <c r="P28">
        <v>331</v>
      </c>
      <c r="Q28">
        <v>10</v>
      </c>
      <c r="R28">
        <v>263</v>
      </c>
      <c r="S28">
        <v>6</v>
      </c>
      <c r="U28">
        <v>30</v>
      </c>
      <c r="V28">
        <v>7</v>
      </c>
      <c r="W28">
        <v>51</v>
      </c>
      <c r="X28">
        <v>5</v>
      </c>
    </row>
    <row r="29" spans="6:24" x14ac:dyDescent="0.25">
      <c r="K29">
        <v>108</v>
      </c>
      <c r="L29">
        <v>9</v>
      </c>
      <c r="M29">
        <v>268</v>
      </c>
      <c r="N29">
        <v>9</v>
      </c>
      <c r="P29">
        <v>367</v>
      </c>
      <c r="Q29">
        <v>9</v>
      </c>
      <c r="R29">
        <v>279</v>
      </c>
      <c r="S29">
        <v>6</v>
      </c>
      <c r="U29">
        <v>315</v>
      </c>
      <c r="V29">
        <v>7</v>
      </c>
      <c r="W29">
        <v>118</v>
      </c>
      <c r="X29">
        <v>5</v>
      </c>
    </row>
    <row r="30" spans="6:24" x14ac:dyDescent="0.25">
      <c r="K30">
        <v>185</v>
      </c>
      <c r="L30">
        <v>8</v>
      </c>
      <c r="M30">
        <v>300</v>
      </c>
      <c r="N30">
        <v>9</v>
      </c>
      <c r="P30">
        <v>190</v>
      </c>
      <c r="Q30">
        <v>7</v>
      </c>
      <c r="R30">
        <v>17</v>
      </c>
      <c r="S30">
        <v>6</v>
      </c>
      <c r="U30">
        <v>394</v>
      </c>
      <c r="V30">
        <v>3</v>
      </c>
      <c r="W30">
        <v>363</v>
      </c>
      <c r="X30">
        <v>5</v>
      </c>
    </row>
    <row r="31" spans="6:24" x14ac:dyDescent="0.25">
      <c r="K31">
        <v>214</v>
      </c>
      <c r="L31">
        <v>8</v>
      </c>
      <c r="M31">
        <v>111</v>
      </c>
      <c r="N31">
        <v>9</v>
      </c>
      <c r="P31">
        <v>279</v>
      </c>
      <c r="Q31">
        <v>6</v>
      </c>
      <c r="R31">
        <v>400</v>
      </c>
      <c r="S31">
        <v>6</v>
      </c>
      <c r="U31">
        <v>310</v>
      </c>
      <c r="V31">
        <v>5</v>
      </c>
      <c r="W31">
        <v>325</v>
      </c>
      <c r="X31">
        <v>5</v>
      </c>
    </row>
    <row r="32" spans="6:24" x14ac:dyDescent="0.25">
      <c r="K32">
        <v>118</v>
      </c>
      <c r="L32">
        <v>5</v>
      </c>
      <c r="M32">
        <v>98</v>
      </c>
      <c r="N32">
        <v>9</v>
      </c>
      <c r="P32">
        <v>339</v>
      </c>
      <c r="Q32">
        <v>8</v>
      </c>
      <c r="R32">
        <v>180</v>
      </c>
      <c r="S32">
        <v>6</v>
      </c>
      <c r="U32">
        <v>219</v>
      </c>
      <c r="V32">
        <v>8</v>
      </c>
      <c r="W32">
        <v>226</v>
      </c>
      <c r="X32">
        <v>5</v>
      </c>
    </row>
    <row r="33" spans="11:24" x14ac:dyDescent="0.25">
      <c r="K33">
        <v>169</v>
      </c>
      <c r="L33">
        <v>8</v>
      </c>
      <c r="M33">
        <v>108</v>
      </c>
      <c r="N33">
        <v>9</v>
      </c>
      <c r="P33">
        <v>17</v>
      </c>
      <c r="Q33">
        <v>6</v>
      </c>
      <c r="R33">
        <v>144</v>
      </c>
      <c r="S33">
        <v>6</v>
      </c>
      <c r="U33">
        <v>188</v>
      </c>
      <c r="V33">
        <v>13</v>
      </c>
      <c r="W33">
        <v>342</v>
      </c>
      <c r="X33">
        <v>5</v>
      </c>
    </row>
    <row r="34" spans="11:24" x14ac:dyDescent="0.25">
      <c r="K34">
        <v>68</v>
      </c>
      <c r="L34">
        <v>18</v>
      </c>
      <c r="M34">
        <v>373</v>
      </c>
      <c r="N34">
        <v>9</v>
      </c>
      <c r="P34">
        <v>317</v>
      </c>
      <c r="Q34">
        <v>4</v>
      </c>
      <c r="R34">
        <v>53</v>
      </c>
      <c r="S34">
        <v>6</v>
      </c>
      <c r="U34">
        <v>241</v>
      </c>
      <c r="V34">
        <v>11</v>
      </c>
      <c r="W34">
        <v>239</v>
      </c>
      <c r="X34">
        <v>5</v>
      </c>
    </row>
    <row r="35" spans="11:24" x14ac:dyDescent="0.25">
      <c r="K35">
        <v>27</v>
      </c>
      <c r="L35">
        <v>8</v>
      </c>
      <c r="M35">
        <v>250</v>
      </c>
      <c r="N35">
        <v>9</v>
      </c>
      <c r="P35">
        <v>323</v>
      </c>
      <c r="Q35">
        <v>5</v>
      </c>
      <c r="R35">
        <v>357</v>
      </c>
      <c r="S35">
        <v>6</v>
      </c>
      <c r="U35">
        <v>210</v>
      </c>
      <c r="V35">
        <v>8</v>
      </c>
      <c r="W35">
        <v>257</v>
      </c>
      <c r="X35">
        <v>5</v>
      </c>
    </row>
    <row r="36" spans="11:24" x14ac:dyDescent="0.25">
      <c r="K36">
        <v>20</v>
      </c>
      <c r="L36">
        <v>10</v>
      </c>
      <c r="M36">
        <v>38</v>
      </c>
      <c r="N36">
        <v>9</v>
      </c>
      <c r="P36">
        <v>308</v>
      </c>
      <c r="Q36">
        <v>12</v>
      </c>
      <c r="R36">
        <v>382</v>
      </c>
      <c r="S36">
        <v>6</v>
      </c>
      <c r="U36">
        <v>356</v>
      </c>
      <c r="V36">
        <v>3</v>
      </c>
      <c r="W36">
        <v>378</v>
      </c>
      <c r="X36">
        <v>6</v>
      </c>
    </row>
    <row r="37" spans="11:24" x14ac:dyDescent="0.25">
      <c r="K37">
        <v>258</v>
      </c>
      <c r="L37">
        <v>10</v>
      </c>
      <c r="M37">
        <v>298</v>
      </c>
      <c r="N37">
        <v>10</v>
      </c>
      <c r="P37">
        <v>214</v>
      </c>
      <c r="Q37">
        <v>8</v>
      </c>
      <c r="R37">
        <v>22</v>
      </c>
      <c r="S37">
        <v>6</v>
      </c>
      <c r="U37">
        <v>76</v>
      </c>
      <c r="V37">
        <v>5</v>
      </c>
      <c r="W37">
        <v>17</v>
      </c>
      <c r="X37">
        <v>6</v>
      </c>
    </row>
    <row r="38" spans="11:24" x14ac:dyDescent="0.25">
      <c r="K38">
        <v>373</v>
      </c>
      <c r="L38">
        <v>9</v>
      </c>
      <c r="M38">
        <v>216</v>
      </c>
      <c r="N38">
        <v>10</v>
      </c>
      <c r="P38">
        <v>1</v>
      </c>
      <c r="Q38">
        <v>10</v>
      </c>
      <c r="R38">
        <v>119</v>
      </c>
      <c r="S38">
        <v>7</v>
      </c>
      <c r="U38">
        <v>245</v>
      </c>
      <c r="V38">
        <v>10</v>
      </c>
      <c r="W38">
        <v>158</v>
      </c>
      <c r="X38">
        <v>6</v>
      </c>
    </row>
    <row r="39" spans="11:24" x14ac:dyDescent="0.25">
      <c r="K39">
        <v>278</v>
      </c>
      <c r="L39">
        <v>8</v>
      </c>
      <c r="M39">
        <v>20</v>
      </c>
      <c r="N39">
        <v>10</v>
      </c>
      <c r="P39">
        <v>353</v>
      </c>
      <c r="Q39">
        <v>4</v>
      </c>
      <c r="R39">
        <v>190</v>
      </c>
      <c r="S39">
        <v>7</v>
      </c>
      <c r="U39">
        <v>229</v>
      </c>
      <c r="V39">
        <v>9</v>
      </c>
      <c r="W39">
        <v>146</v>
      </c>
      <c r="X39">
        <v>6</v>
      </c>
    </row>
    <row r="40" spans="11:24" x14ac:dyDescent="0.25">
      <c r="K40">
        <v>72</v>
      </c>
      <c r="L40">
        <v>4</v>
      </c>
      <c r="M40">
        <v>258</v>
      </c>
      <c r="N40">
        <v>10</v>
      </c>
      <c r="P40">
        <v>100</v>
      </c>
      <c r="Q40">
        <v>7</v>
      </c>
      <c r="R40">
        <v>100</v>
      </c>
      <c r="S40">
        <v>7</v>
      </c>
      <c r="U40">
        <v>321</v>
      </c>
      <c r="V40">
        <v>10</v>
      </c>
      <c r="W40">
        <v>357</v>
      </c>
      <c r="X40">
        <v>6</v>
      </c>
    </row>
    <row r="41" spans="11:24" x14ac:dyDescent="0.25">
      <c r="K41">
        <v>199</v>
      </c>
      <c r="L41">
        <v>6</v>
      </c>
      <c r="M41">
        <v>106</v>
      </c>
      <c r="N41">
        <v>10</v>
      </c>
      <c r="P41">
        <v>276</v>
      </c>
      <c r="Q41">
        <v>8</v>
      </c>
      <c r="R41">
        <v>243</v>
      </c>
      <c r="S41">
        <v>7</v>
      </c>
      <c r="U41">
        <v>33</v>
      </c>
      <c r="V41">
        <v>6</v>
      </c>
      <c r="W41">
        <v>154</v>
      </c>
      <c r="X41">
        <v>6</v>
      </c>
    </row>
    <row r="42" spans="11:24" x14ac:dyDescent="0.25">
      <c r="K42">
        <v>92</v>
      </c>
      <c r="L42">
        <v>7</v>
      </c>
      <c r="M42">
        <v>150</v>
      </c>
      <c r="N42">
        <v>11</v>
      </c>
      <c r="P42">
        <v>84</v>
      </c>
      <c r="Q42">
        <v>2</v>
      </c>
      <c r="R42">
        <v>246</v>
      </c>
      <c r="S42">
        <v>7</v>
      </c>
      <c r="U42">
        <v>176</v>
      </c>
      <c r="V42">
        <v>13</v>
      </c>
      <c r="W42">
        <v>47</v>
      </c>
      <c r="X42">
        <v>6</v>
      </c>
    </row>
    <row r="43" spans="11:24" x14ac:dyDescent="0.25">
      <c r="K43">
        <v>250</v>
      </c>
      <c r="L43">
        <v>9</v>
      </c>
      <c r="M43">
        <v>241</v>
      </c>
      <c r="N43">
        <v>11</v>
      </c>
      <c r="P43">
        <v>257</v>
      </c>
      <c r="Q43">
        <v>5</v>
      </c>
      <c r="R43">
        <v>306</v>
      </c>
      <c r="S43">
        <v>7</v>
      </c>
      <c r="U43">
        <v>52</v>
      </c>
      <c r="V43">
        <v>11</v>
      </c>
      <c r="W43">
        <v>89</v>
      </c>
      <c r="X43">
        <v>6</v>
      </c>
    </row>
    <row r="44" spans="11:24" x14ac:dyDescent="0.25">
      <c r="K44">
        <v>80</v>
      </c>
      <c r="L44">
        <v>6</v>
      </c>
      <c r="M44">
        <v>12</v>
      </c>
      <c r="N44">
        <v>12</v>
      </c>
      <c r="P44">
        <v>58</v>
      </c>
      <c r="Q44">
        <v>5</v>
      </c>
      <c r="R44">
        <v>156</v>
      </c>
      <c r="S44">
        <v>7</v>
      </c>
      <c r="U44">
        <v>144</v>
      </c>
      <c r="V44">
        <v>6</v>
      </c>
      <c r="W44">
        <v>33</v>
      </c>
      <c r="X44">
        <v>6</v>
      </c>
    </row>
    <row r="45" spans="11:24" x14ac:dyDescent="0.25">
      <c r="K45">
        <v>97</v>
      </c>
      <c r="L45">
        <v>4</v>
      </c>
      <c r="M45">
        <v>337</v>
      </c>
      <c r="N45">
        <v>12</v>
      </c>
      <c r="P45">
        <v>400</v>
      </c>
      <c r="Q45">
        <v>6</v>
      </c>
      <c r="R45">
        <v>30</v>
      </c>
      <c r="S45">
        <v>7</v>
      </c>
      <c r="U45">
        <v>59</v>
      </c>
      <c r="V45">
        <v>10</v>
      </c>
      <c r="W45">
        <v>144</v>
      </c>
      <c r="X45">
        <v>6</v>
      </c>
    </row>
    <row r="46" spans="11:24" x14ac:dyDescent="0.25">
      <c r="K46">
        <v>215</v>
      </c>
      <c r="L46">
        <v>8</v>
      </c>
      <c r="M46">
        <v>291</v>
      </c>
      <c r="N46">
        <v>13</v>
      </c>
      <c r="P46">
        <v>307</v>
      </c>
      <c r="Q46">
        <v>9</v>
      </c>
      <c r="R46">
        <v>313</v>
      </c>
      <c r="S46">
        <v>7</v>
      </c>
      <c r="U46">
        <v>156</v>
      </c>
      <c r="V46">
        <v>7</v>
      </c>
      <c r="W46">
        <v>22</v>
      </c>
      <c r="X46">
        <v>6</v>
      </c>
    </row>
    <row r="47" spans="11:24" x14ac:dyDescent="0.25">
      <c r="K47">
        <v>104</v>
      </c>
      <c r="L47">
        <v>13</v>
      </c>
      <c r="M47">
        <v>188</v>
      </c>
      <c r="N47">
        <v>13</v>
      </c>
      <c r="P47">
        <v>188</v>
      </c>
      <c r="Q47">
        <v>13</v>
      </c>
      <c r="R47">
        <v>19</v>
      </c>
      <c r="S47">
        <v>8</v>
      </c>
      <c r="U47">
        <v>22</v>
      </c>
      <c r="V47">
        <v>6</v>
      </c>
      <c r="W47">
        <v>161</v>
      </c>
      <c r="X47">
        <v>6</v>
      </c>
    </row>
    <row r="48" spans="11:24" x14ac:dyDescent="0.25">
      <c r="K48">
        <v>38</v>
      </c>
      <c r="L48">
        <v>9</v>
      </c>
      <c r="M48">
        <v>104</v>
      </c>
      <c r="N48">
        <v>13</v>
      </c>
      <c r="P48">
        <v>118</v>
      </c>
      <c r="Q48">
        <v>5</v>
      </c>
      <c r="R48">
        <v>183</v>
      </c>
      <c r="S48">
        <v>8</v>
      </c>
      <c r="U48">
        <v>183</v>
      </c>
      <c r="V48">
        <v>8</v>
      </c>
      <c r="W48">
        <v>380</v>
      </c>
      <c r="X48">
        <v>6</v>
      </c>
    </row>
    <row r="49" spans="11:24" x14ac:dyDescent="0.25">
      <c r="K49">
        <v>337</v>
      </c>
      <c r="L49">
        <v>12</v>
      </c>
      <c r="M49">
        <v>43</v>
      </c>
      <c r="N49">
        <v>15</v>
      </c>
      <c r="P49">
        <v>124</v>
      </c>
      <c r="Q49">
        <v>8</v>
      </c>
      <c r="R49">
        <v>346</v>
      </c>
      <c r="S49">
        <v>8</v>
      </c>
      <c r="U49">
        <v>161</v>
      </c>
      <c r="V49">
        <v>6</v>
      </c>
      <c r="W49">
        <v>248</v>
      </c>
      <c r="X49">
        <v>6</v>
      </c>
    </row>
    <row r="50" spans="11:24" x14ac:dyDescent="0.25">
      <c r="K50">
        <v>301</v>
      </c>
      <c r="L50">
        <v>4</v>
      </c>
      <c r="M50">
        <v>168</v>
      </c>
      <c r="N50">
        <v>16</v>
      </c>
      <c r="P50">
        <v>180</v>
      </c>
      <c r="Q50">
        <v>6</v>
      </c>
      <c r="R50">
        <v>169</v>
      </c>
      <c r="S50">
        <v>8</v>
      </c>
      <c r="U50">
        <v>380</v>
      </c>
      <c r="V50">
        <v>6</v>
      </c>
      <c r="W50">
        <v>400</v>
      </c>
      <c r="X50">
        <v>6</v>
      </c>
    </row>
    <row r="51" spans="11:24" x14ac:dyDescent="0.25">
      <c r="K51">
        <v>106</v>
      </c>
      <c r="L51">
        <v>10</v>
      </c>
      <c r="M51">
        <v>68</v>
      </c>
      <c r="N51">
        <v>18</v>
      </c>
      <c r="P51">
        <v>201</v>
      </c>
      <c r="Q51">
        <v>8</v>
      </c>
      <c r="R51">
        <v>339</v>
      </c>
      <c r="S51">
        <v>8</v>
      </c>
      <c r="U51">
        <v>309</v>
      </c>
      <c r="V51">
        <v>5</v>
      </c>
      <c r="W51">
        <v>80</v>
      </c>
      <c r="X51">
        <v>6</v>
      </c>
    </row>
    <row r="52" spans="11:24" x14ac:dyDescent="0.25">
      <c r="P52">
        <v>132</v>
      </c>
      <c r="Q52">
        <v>10</v>
      </c>
      <c r="R52">
        <v>214</v>
      </c>
      <c r="S52">
        <v>8</v>
      </c>
      <c r="U52">
        <v>20</v>
      </c>
      <c r="V52">
        <v>10</v>
      </c>
      <c r="W52">
        <v>63</v>
      </c>
      <c r="X52">
        <v>6</v>
      </c>
    </row>
    <row r="53" spans="11:24" x14ac:dyDescent="0.25">
      <c r="P53">
        <v>223</v>
      </c>
      <c r="Q53">
        <v>5</v>
      </c>
      <c r="R53">
        <v>276</v>
      </c>
      <c r="S53">
        <v>8</v>
      </c>
      <c r="U53">
        <v>349</v>
      </c>
      <c r="V53">
        <v>5</v>
      </c>
      <c r="W53">
        <v>171</v>
      </c>
      <c r="X53">
        <v>6</v>
      </c>
    </row>
    <row r="54" spans="11:24" x14ac:dyDescent="0.25">
      <c r="P54">
        <v>372</v>
      </c>
      <c r="Q54">
        <v>11</v>
      </c>
      <c r="R54">
        <v>124</v>
      </c>
      <c r="S54">
        <v>8</v>
      </c>
      <c r="U54">
        <v>109</v>
      </c>
      <c r="V54">
        <v>10</v>
      </c>
      <c r="W54">
        <v>26</v>
      </c>
      <c r="X54">
        <v>6</v>
      </c>
    </row>
    <row r="55" spans="11:24" x14ac:dyDescent="0.25">
      <c r="P55">
        <v>205</v>
      </c>
      <c r="Q55">
        <v>12</v>
      </c>
      <c r="R55">
        <v>201</v>
      </c>
      <c r="S55">
        <v>8</v>
      </c>
      <c r="U55">
        <v>116</v>
      </c>
      <c r="V55">
        <v>11</v>
      </c>
      <c r="W55">
        <v>263</v>
      </c>
      <c r="X55">
        <v>6</v>
      </c>
    </row>
    <row r="56" spans="11:24" x14ac:dyDescent="0.25">
      <c r="P56">
        <v>9</v>
      </c>
      <c r="Q56">
        <v>8</v>
      </c>
      <c r="R56">
        <v>9</v>
      </c>
      <c r="S56">
        <v>8</v>
      </c>
      <c r="U56">
        <v>194</v>
      </c>
      <c r="V56">
        <v>4</v>
      </c>
      <c r="W56">
        <v>196</v>
      </c>
      <c r="X56">
        <v>6</v>
      </c>
    </row>
    <row r="57" spans="11:24" x14ac:dyDescent="0.25">
      <c r="P57">
        <v>226</v>
      </c>
      <c r="Q57">
        <v>5</v>
      </c>
      <c r="R57">
        <v>29</v>
      </c>
      <c r="S57">
        <v>8</v>
      </c>
      <c r="U57">
        <v>1</v>
      </c>
      <c r="V57">
        <v>10</v>
      </c>
      <c r="W57">
        <v>83</v>
      </c>
      <c r="X57">
        <v>6</v>
      </c>
    </row>
    <row r="58" spans="11:24" x14ac:dyDescent="0.25">
      <c r="P58">
        <v>349</v>
      </c>
      <c r="Q58">
        <v>5</v>
      </c>
      <c r="R58">
        <v>332</v>
      </c>
      <c r="S58">
        <v>8</v>
      </c>
      <c r="U58">
        <v>43</v>
      </c>
      <c r="V58">
        <v>15</v>
      </c>
      <c r="W58">
        <v>10</v>
      </c>
      <c r="X58">
        <v>6</v>
      </c>
    </row>
    <row r="59" spans="11:24" x14ac:dyDescent="0.25">
      <c r="P59">
        <v>29</v>
      </c>
      <c r="Q59">
        <v>8</v>
      </c>
      <c r="R59">
        <v>142</v>
      </c>
      <c r="S59">
        <v>8</v>
      </c>
      <c r="U59">
        <v>170</v>
      </c>
      <c r="V59">
        <v>9</v>
      </c>
      <c r="W59">
        <v>279</v>
      </c>
      <c r="X59">
        <v>6</v>
      </c>
    </row>
    <row r="60" spans="11:24" x14ac:dyDescent="0.25">
      <c r="P60">
        <v>243</v>
      </c>
      <c r="Q60">
        <v>7</v>
      </c>
      <c r="R60">
        <v>294</v>
      </c>
      <c r="S60">
        <v>8</v>
      </c>
      <c r="U60">
        <v>45</v>
      </c>
      <c r="V60">
        <v>9</v>
      </c>
      <c r="W60">
        <v>11</v>
      </c>
      <c r="X60">
        <v>6</v>
      </c>
    </row>
    <row r="61" spans="11:24" x14ac:dyDescent="0.25">
      <c r="P61">
        <v>246</v>
      </c>
      <c r="Q61">
        <v>7</v>
      </c>
      <c r="R61">
        <v>165</v>
      </c>
      <c r="S61">
        <v>8</v>
      </c>
      <c r="U61">
        <v>281</v>
      </c>
      <c r="V61">
        <v>7</v>
      </c>
      <c r="W61">
        <v>15</v>
      </c>
      <c r="X61">
        <v>6</v>
      </c>
    </row>
    <row r="62" spans="11:24" x14ac:dyDescent="0.25">
      <c r="P62">
        <v>85</v>
      </c>
      <c r="Q62">
        <v>9</v>
      </c>
      <c r="R62">
        <v>113</v>
      </c>
      <c r="S62">
        <v>8</v>
      </c>
      <c r="U62">
        <v>213</v>
      </c>
      <c r="V62">
        <v>10</v>
      </c>
      <c r="W62">
        <v>152</v>
      </c>
      <c r="X62">
        <v>6</v>
      </c>
    </row>
    <row r="63" spans="11:24" x14ac:dyDescent="0.25">
      <c r="P63">
        <v>379</v>
      </c>
      <c r="Q63">
        <v>12</v>
      </c>
      <c r="R63">
        <v>284</v>
      </c>
      <c r="S63">
        <v>8</v>
      </c>
      <c r="U63">
        <v>122</v>
      </c>
      <c r="V63">
        <v>14</v>
      </c>
      <c r="W63">
        <v>41</v>
      </c>
      <c r="X63">
        <v>6</v>
      </c>
    </row>
    <row r="64" spans="11:24" x14ac:dyDescent="0.25">
      <c r="P64">
        <v>55</v>
      </c>
      <c r="Q64">
        <v>5</v>
      </c>
      <c r="R64">
        <v>219</v>
      </c>
      <c r="S64">
        <v>8</v>
      </c>
      <c r="U64">
        <v>328</v>
      </c>
      <c r="V64">
        <v>9</v>
      </c>
      <c r="W64">
        <v>382</v>
      </c>
      <c r="X64">
        <v>6</v>
      </c>
    </row>
    <row r="65" spans="16:24" x14ac:dyDescent="0.25">
      <c r="P65">
        <v>144</v>
      </c>
      <c r="Q65">
        <v>6</v>
      </c>
      <c r="R65">
        <v>390</v>
      </c>
      <c r="S65">
        <v>8</v>
      </c>
      <c r="U65">
        <v>205</v>
      </c>
      <c r="V65">
        <v>12</v>
      </c>
      <c r="W65">
        <v>180</v>
      </c>
      <c r="X65">
        <v>6</v>
      </c>
    </row>
    <row r="66" spans="16:24" x14ac:dyDescent="0.25">
      <c r="P66">
        <v>336</v>
      </c>
      <c r="Q66">
        <v>5</v>
      </c>
      <c r="R66">
        <v>367</v>
      </c>
      <c r="S66">
        <v>9</v>
      </c>
      <c r="U66">
        <v>172</v>
      </c>
      <c r="V66">
        <v>9</v>
      </c>
      <c r="W66">
        <v>139</v>
      </c>
      <c r="X66">
        <v>6</v>
      </c>
    </row>
    <row r="67" spans="16:24" x14ac:dyDescent="0.25">
      <c r="P67">
        <v>147</v>
      </c>
      <c r="Q67">
        <v>12</v>
      </c>
      <c r="R67">
        <v>307</v>
      </c>
      <c r="S67">
        <v>9</v>
      </c>
      <c r="U67">
        <v>148</v>
      </c>
      <c r="V67">
        <v>4</v>
      </c>
      <c r="W67">
        <v>44</v>
      </c>
      <c r="X67">
        <v>6</v>
      </c>
    </row>
    <row r="68" spans="16:24" x14ac:dyDescent="0.25">
      <c r="P68">
        <v>306</v>
      </c>
      <c r="Q68">
        <v>7</v>
      </c>
      <c r="R68">
        <v>85</v>
      </c>
      <c r="S68">
        <v>9</v>
      </c>
      <c r="U68">
        <v>48</v>
      </c>
      <c r="V68">
        <v>5</v>
      </c>
      <c r="W68">
        <v>36</v>
      </c>
      <c r="X68">
        <v>7</v>
      </c>
    </row>
    <row r="69" spans="16:24" x14ac:dyDescent="0.25">
      <c r="P69">
        <v>53</v>
      </c>
      <c r="Q69">
        <v>6</v>
      </c>
      <c r="R69">
        <v>320</v>
      </c>
      <c r="S69">
        <v>9</v>
      </c>
      <c r="U69">
        <v>138</v>
      </c>
      <c r="V69">
        <v>8</v>
      </c>
      <c r="W69">
        <v>190</v>
      </c>
      <c r="X69">
        <v>7</v>
      </c>
    </row>
    <row r="70" spans="16:24" x14ac:dyDescent="0.25">
      <c r="P70">
        <v>318</v>
      </c>
      <c r="Q70">
        <v>5</v>
      </c>
      <c r="R70">
        <v>111</v>
      </c>
      <c r="S70">
        <v>9</v>
      </c>
      <c r="U70">
        <v>101</v>
      </c>
      <c r="V70">
        <v>10</v>
      </c>
      <c r="W70">
        <v>173</v>
      </c>
      <c r="X70">
        <v>7</v>
      </c>
    </row>
    <row r="71" spans="16:24" x14ac:dyDescent="0.25">
      <c r="P71">
        <v>96</v>
      </c>
      <c r="Q71">
        <v>13</v>
      </c>
      <c r="R71">
        <v>350</v>
      </c>
      <c r="S71">
        <v>9</v>
      </c>
      <c r="U71">
        <v>181</v>
      </c>
      <c r="V71">
        <v>9</v>
      </c>
      <c r="W71">
        <v>30</v>
      </c>
      <c r="X71">
        <v>7</v>
      </c>
    </row>
    <row r="72" spans="16:24" x14ac:dyDescent="0.25">
      <c r="P72">
        <v>87</v>
      </c>
      <c r="Q72">
        <v>3</v>
      </c>
      <c r="R72">
        <v>64</v>
      </c>
      <c r="S72">
        <v>9</v>
      </c>
      <c r="U72">
        <v>273</v>
      </c>
      <c r="V72">
        <v>10</v>
      </c>
      <c r="W72">
        <v>315</v>
      </c>
      <c r="X72">
        <v>7</v>
      </c>
    </row>
    <row r="73" spans="16:24" x14ac:dyDescent="0.25">
      <c r="P73">
        <v>320</v>
      </c>
      <c r="Q73">
        <v>9</v>
      </c>
      <c r="R73">
        <v>261</v>
      </c>
      <c r="S73">
        <v>9</v>
      </c>
      <c r="U73">
        <v>164</v>
      </c>
      <c r="V73">
        <v>10</v>
      </c>
      <c r="W73">
        <v>156</v>
      </c>
      <c r="X73">
        <v>7</v>
      </c>
    </row>
    <row r="74" spans="16:24" x14ac:dyDescent="0.25">
      <c r="P74">
        <v>265</v>
      </c>
      <c r="Q74">
        <v>5</v>
      </c>
      <c r="R74">
        <v>13</v>
      </c>
      <c r="S74">
        <v>10</v>
      </c>
      <c r="U74">
        <v>331</v>
      </c>
      <c r="V74">
        <v>10</v>
      </c>
      <c r="W74">
        <v>281</v>
      </c>
      <c r="X74">
        <v>7</v>
      </c>
    </row>
    <row r="75" spans="16:24" x14ac:dyDescent="0.25">
      <c r="P75">
        <v>239</v>
      </c>
      <c r="Q75">
        <v>5</v>
      </c>
      <c r="R75">
        <v>359</v>
      </c>
      <c r="S75">
        <v>10</v>
      </c>
      <c r="U75">
        <v>237</v>
      </c>
      <c r="V75">
        <v>16</v>
      </c>
      <c r="W75">
        <v>24</v>
      </c>
      <c r="X75">
        <v>7</v>
      </c>
    </row>
    <row r="76" spans="16:24" x14ac:dyDescent="0.25">
      <c r="P76">
        <v>332</v>
      </c>
      <c r="Q76">
        <v>8</v>
      </c>
      <c r="R76">
        <v>305</v>
      </c>
      <c r="S76">
        <v>10</v>
      </c>
      <c r="U76">
        <v>220</v>
      </c>
      <c r="V76">
        <v>8</v>
      </c>
      <c r="W76">
        <v>141</v>
      </c>
      <c r="X76">
        <v>7</v>
      </c>
    </row>
    <row r="77" spans="16:24" x14ac:dyDescent="0.25">
      <c r="P77">
        <v>111</v>
      </c>
      <c r="Q77">
        <v>9</v>
      </c>
      <c r="R77">
        <v>225</v>
      </c>
      <c r="S77">
        <v>10</v>
      </c>
      <c r="U77">
        <v>75</v>
      </c>
      <c r="V77">
        <v>11</v>
      </c>
      <c r="W77">
        <v>86</v>
      </c>
      <c r="X77">
        <v>7</v>
      </c>
    </row>
    <row r="78" spans="16:24" x14ac:dyDescent="0.25">
      <c r="P78">
        <v>350</v>
      </c>
      <c r="Q78">
        <v>9</v>
      </c>
      <c r="R78">
        <v>197</v>
      </c>
      <c r="S78">
        <v>10</v>
      </c>
      <c r="U78">
        <v>202</v>
      </c>
      <c r="V78">
        <v>1</v>
      </c>
      <c r="W78">
        <v>374</v>
      </c>
      <c r="X78">
        <v>7</v>
      </c>
    </row>
    <row r="79" spans="16:24" x14ac:dyDescent="0.25">
      <c r="P79">
        <v>142</v>
      </c>
      <c r="Q79">
        <v>8</v>
      </c>
      <c r="R79">
        <v>101</v>
      </c>
      <c r="S79">
        <v>10</v>
      </c>
      <c r="U79">
        <v>248</v>
      </c>
      <c r="V79">
        <v>6</v>
      </c>
      <c r="W79">
        <v>242</v>
      </c>
      <c r="X79">
        <v>7</v>
      </c>
    </row>
    <row r="80" spans="16:24" x14ac:dyDescent="0.25">
      <c r="P80">
        <v>267</v>
      </c>
      <c r="Q80">
        <v>10</v>
      </c>
      <c r="R80">
        <v>78</v>
      </c>
      <c r="S80">
        <v>10</v>
      </c>
      <c r="U80">
        <v>187</v>
      </c>
      <c r="V80">
        <v>8</v>
      </c>
      <c r="W80">
        <v>6</v>
      </c>
      <c r="X80">
        <v>7</v>
      </c>
    </row>
    <row r="81" spans="16:24" x14ac:dyDescent="0.25">
      <c r="P81">
        <v>200</v>
      </c>
      <c r="Q81">
        <v>12</v>
      </c>
      <c r="R81">
        <v>331</v>
      </c>
      <c r="S81">
        <v>10</v>
      </c>
      <c r="U81">
        <v>24</v>
      </c>
      <c r="V81">
        <v>7</v>
      </c>
      <c r="W81">
        <v>282</v>
      </c>
      <c r="X81">
        <v>7</v>
      </c>
    </row>
    <row r="82" spans="16:24" x14ac:dyDescent="0.25">
      <c r="P82">
        <v>156</v>
      </c>
      <c r="Q82">
        <v>7</v>
      </c>
      <c r="R82">
        <v>1</v>
      </c>
      <c r="S82">
        <v>10</v>
      </c>
      <c r="U82">
        <v>70</v>
      </c>
      <c r="V82">
        <v>9</v>
      </c>
      <c r="W82">
        <v>162</v>
      </c>
      <c r="X82">
        <v>7</v>
      </c>
    </row>
    <row r="83" spans="16:24" x14ac:dyDescent="0.25">
      <c r="P83">
        <v>294</v>
      </c>
      <c r="Q83">
        <v>8</v>
      </c>
      <c r="R83">
        <v>132</v>
      </c>
      <c r="S83">
        <v>10</v>
      </c>
      <c r="U83">
        <v>157</v>
      </c>
      <c r="V83">
        <v>8</v>
      </c>
      <c r="W83">
        <v>119</v>
      </c>
      <c r="X83">
        <v>7</v>
      </c>
    </row>
    <row r="84" spans="16:24" x14ac:dyDescent="0.25">
      <c r="P84">
        <v>165</v>
      </c>
      <c r="Q84">
        <v>8</v>
      </c>
      <c r="R84">
        <v>267</v>
      </c>
      <c r="S84">
        <v>10</v>
      </c>
      <c r="U84">
        <v>400</v>
      </c>
      <c r="V84">
        <v>6</v>
      </c>
      <c r="W84">
        <v>92</v>
      </c>
      <c r="X84">
        <v>7</v>
      </c>
    </row>
    <row r="85" spans="16:24" x14ac:dyDescent="0.25">
      <c r="P85">
        <v>113</v>
      </c>
      <c r="Q85">
        <v>8</v>
      </c>
      <c r="R85">
        <v>198</v>
      </c>
      <c r="S85">
        <v>10</v>
      </c>
      <c r="U85">
        <v>238</v>
      </c>
      <c r="V85">
        <v>9</v>
      </c>
      <c r="W85">
        <v>395</v>
      </c>
      <c r="X85">
        <v>7</v>
      </c>
    </row>
    <row r="86" spans="16:24" x14ac:dyDescent="0.25">
      <c r="P86">
        <v>304</v>
      </c>
      <c r="Q86">
        <v>12</v>
      </c>
      <c r="R86">
        <v>396</v>
      </c>
      <c r="S86">
        <v>11</v>
      </c>
      <c r="U86">
        <v>351</v>
      </c>
      <c r="V86">
        <v>8</v>
      </c>
      <c r="W86">
        <v>94</v>
      </c>
      <c r="X86">
        <v>7</v>
      </c>
    </row>
    <row r="87" spans="16:24" x14ac:dyDescent="0.25">
      <c r="P87">
        <v>64</v>
      </c>
      <c r="Q87">
        <v>9</v>
      </c>
      <c r="R87">
        <v>241</v>
      </c>
      <c r="S87">
        <v>11</v>
      </c>
      <c r="U87">
        <v>18</v>
      </c>
      <c r="V87">
        <v>8</v>
      </c>
      <c r="W87">
        <v>246</v>
      </c>
      <c r="X87">
        <v>7</v>
      </c>
    </row>
    <row r="88" spans="16:24" x14ac:dyDescent="0.25">
      <c r="P88">
        <v>261</v>
      </c>
      <c r="Q88">
        <v>9</v>
      </c>
      <c r="R88">
        <v>251</v>
      </c>
      <c r="S88">
        <v>11</v>
      </c>
      <c r="U88">
        <v>67</v>
      </c>
      <c r="V88">
        <v>5</v>
      </c>
      <c r="W88">
        <v>243</v>
      </c>
      <c r="X88">
        <v>7</v>
      </c>
    </row>
    <row r="89" spans="16:24" x14ac:dyDescent="0.25">
      <c r="P89">
        <v>30</v>
      </c>
      <c r="Q89">
        <v>7</v>
      </c>
      <c r="R89">
        <v>372</v>
      </c>
      <c r="S89">
        <v>11</v>
      </c>
      <c r="U89">
        <v>80</v>
      </c>
      <c r="V89">
        <v>6</v>
      </c>
      <c r="W89">
        <v>105</v>
      </c>
      <c r="X89">
        <v>7</v>
      </c>
    </row>
    <row r="90" spans="16:24" x14ac:dyDescent="0.25">
      <c r="P90">
        <v>357</v>
      </c>
      <c r="Q90">
        <v>6</v>
      </c>
      <c r="R90">
        <v>280</v>
      </c>
      <c r="S90">
        <v>11</v>
      </c>
      <c r="U90">
        <v>63</v>
      </c>
      <c r="V90">
        <v>6</v>
      </c>
      <c r="W90">
        <v>283</v>
      </c>
      <c r="X90">
        <v>7</v>
      </c>
    </row>
    <row r="91" spans="16:24" x14ac:dyDescent="0.25">
      <c r="P91">
        <v>284</v>
      </c>
      <c r="Q91">
        <v>8</v>
      </c>
      <c r="R91">
        <v>308</v>
      </c>
      <c r="S91">
        <v>12</v>
      </c>
      <c r="U91">
        <v>141</v>
      </c>
      <c r="V91">
        <v>7</v>
      </c>
      <c r="W91">
        <v>153</v>
      </c>
      <c r="X91">
        <v>7</v>
      </c>
    </row>
    <row r="92" spans="16:24" x14ac:dyDescent="0.25">
      <c r="P92">
        <v>159</v>
      </c>
      <c r="Q92">
        <v>15</v>
      </c>
      <c r="R92">
        <v>205</v>
      </c>
      <c r="S92">
        <v>12</v>
      </c>
      <c r="U92">
        <v>320</v>
      </c>
      <c r="V92">
        <v>9</v>
      </c>
      <c r="W92">
        <v>227</v>
      </c>
      <c r="X92">
        <v>7</v>
      </c>
    </row>
    <row r="93" spans="16:24" x14ac:dyDescent="0.25">
      <c r="P93">
        <v>382</v>
      </c>
      <c r="Q93">
        <v>6</v>
      </c>
      <c r="R93">
        <v>379</v>
      </c>
      <c r="S93">
        <v>12</v>
      </c>
      <c r="U93">
        <v>171</v>
      </c>
      <c r="V93">
        <v>6</v>
      </c>
      <c r="W93">
        <v>3</v>
      </c>
      <c r="X93">
        <v>7</v>
      </c>
    </row>
    <row r="94" spans="16:24" x14ac:dyDescent="0.25">
      <c r="P94">
        <v>14</v>
      </c>
      <c r="Q94">
        <v>5</v>
      </c>
      <c r="R94">
        <v>147</v>
      </c>
      <c r="S94">
        <v>12</v>
      </c>
      <c r="U94">
        <v>13</v>
      </c>
      <c r="V94">
        <v>10</v>
      </c>
      <c r="W94">
        <v>278</v>
      </c>
      <c r="X94">
        <v>8</v>
      </c>
    </row>
    <row r="95" spans="16:24" x14ac:dyDescent="0.25">
      <c r="P95">
        <v>219</v>
      </c>
      <c r="Q95">
        <v>8</v>
      </c>
      <c r="R95">
        <v>200</v>
      </c>
      <c r="S95">
        <v>12</v>
      </c>
      <c r="U95">
        <v>86</v>
      </c>
      <c r="V95">
        <v>7</v>
      </c>
      <c r="W95">
        <v>163</v>
      </c>
      <c r="X95">
        <v>8</v>
      </c>
    </row>
    <row r="96" spans="16:24" x14ac:dyDescent="0.25">
      <c r="P96">
        <v>198</v>
      </c>
      <c r="Q96">
        <v>10</v>
      </c>
      <c r="R96">
        <v>304</v>
      </c>
      <c r="S96">
        <v>12</v>
      </c>
      <c r="U96">
        <v>26</v>
      </c>
      <c r="V96">
        <v>6</v>
      </c>
      <c r="W96">
        <v>262</v>
      </c>
      <c r="X96">
        <v>8</v>
      </c>
    </row>
    <row r="97" spans="16:24" x14ac:dyDescent="0.25">
      <c r="P97">
        <v>390</v>
      </c>
      <c r="Q97">
        <v>8</v>
      </c>
      <c r="R97">
        <v>188</v>
      </c>
      <c r="S97">
        <v>13</v>
      </c>
      <c r="U97">
        <v>263</v>
      </c>
      <c r="V97">
        <v>6</v>
      </c>
      <c r="W97">
        <v>219</v>
      </c>
      <c r="X97">
        <v>8</v>
      </c>
    </row>
    <row r="98" spans="16:24" x14ac:dyDescent="0.25">
      <c r="P98">
        <v>22</v>
      </c>
      <c r="Q98">
        <v>6</v>
      </c>
      <c r="R98">
        <v>96</v>
      </c>
      <c r="S98">
        <v>13</v>
      </c>
      <c r="U98">
        <v>369</v>
      </c>
      <c r="V98">
        <v>2</v>
      </c>
      <c r="W98">
        <v>210</v>
      </c>
      <c r="X98">
        <v>8</v>
      </c>
    </row>
    <row r="99" spans="16:24" x14ac:dyDescent="0.25">
      <c r="P99">
        <v>313</v>
      </c>
      <c r="Q99">
        <v>7</v>
      </c>
      <c r="R99">
        <v>79</v>
      </c>
      <c r="S99">
        <v>14</v>
      </c>
      <c r="U99">
        <v>99</v>
      </c>
      <c r="V99">
        <v>13</v>
      </c>
      <c r="W99">
        <v>183</v>
      </c>
      <c r="X99">
        <v>8</v>
      </c>
    </row>
    <row r="100" spans="16:24" x14ac:dyDescent="0.25">
      <c r="P100">
        <v>310</v>
      </c>
      <c r="Q100">
        <v>5</v>
      </c>
      <c r="R100">
        <v>159</v>
      </c>
      <c r="S100">
        <v>15</v>
      </c>
      <c r="U100">
        <v>98</v>
      </c>
      <c r="V100">
        <v>9</v>
      </c>
      <c r="W100">
        <v>138</v>
      </c>
      <c r="X100">
        <v>8</v>
      </c>
    </row>
    <row r="101" spans="16:24" x14ac:dyDescent="0.25">
      <c r="P101">
        <v>280</v>
      </c>
      <c r="Q101">
        <v>11</v>
      </c>
      <c r="R101">
        <v>68</v>
      </c>
      <c r="S101">
        <v>18</v>
      </c>
      <c r="U101">
        <v>196</v>
      </c>
      <c r="V101">
        <v>6</v>
      </c>
      <c r="W101">
        <v>220</v>
      </c>
      <c r="X101">
        <v>8</v>
      </c>
    </row>
    <row r="102" spans="16:24" x14ac:dyDescent="0.25">
      <c r="U102">
        <v>372</v>
      </c>
      <c r="V102">
        <v>11</v>
      </c>
      <c r="W102">
        <v>187</v>
      </c>
      <c r="X102">
        <v>8</v>
      </c>
    </row>
    <row r="103" spans="16:24" x14ac:dyDescent="0.25">
      <c r="U103">
        <v>217</v>
      </c>
      <c r="V103">
        <v>10</v>
      </c>
      <c r="W103">
        <v>157</v>
      </c>
      <c r="X103">
        <v>8</v>
      </c>
    </row>
    <row r="104" spans="16:24" x14ac:dyDescent="0.25">
      <c r="U104">
        <v>374</v>
      </c>
      <c r="V104">
        <v>7</v>
      </c>
      <c r="W104">
        <v>351</v>
      </c>
      <c r="X104">
        <v>8</v>
      </c>
    </row>
    <row r="105" spans="16:24" x14ac:dyDescent="0.25">
      <c r="U105">
        <v>83</v>
      </c>
      <c r="V105">
        <v>6</v>
      </c>
      <c r="W105">
        <v>18</v>
      </c>
      <c r="X105">
        <v>8</v>
      </c>
    </row>
    <row r="106" spans="16:24" x14ac:dyDescent="0.25">
      <c r="U106">
        <v>259</v>
      </c>
      <c r="V106">
        <v>5</v>
      </c>
      <c r="W106">
        <v>54</v>
      </c>
      <c r="X106">
        <v>8</v>
      </c>
    </row>
    <row r="107" spans="16:24" x14ac:dyDescent="0.25">
      <c r="U107">
        <v>132</v>
      </c>
      <c r="V107">
        <v>10</v>
      </c>
      <c r="W107">
        <v>29</v>
      </c>
      <c r="X107">
        <v>8</v>
      </c>
    </row>
    <row r="108" spans="16:24" x14ac:dyDescent="0.25">
      <c r="U108">
        <v>223</v>
      </c>
      <c r="V108">
        <v>5</v>
      </c>
      <c r="W108">
        <v>192</v>
      </c>
      <c r="X108">
        <v>8</v>
      </c>
    </row>
    <row r="109" spans="16:24" x14ac:dyDescent="0.25">
      <c r="U109">
        <v>54</v>
      </c>
      <c r="V109">
        <v>8</v>
      </c>
      <c r="W109">
        <v>136</v>
      </c>
      <c r="X109">
        <v>8</v>
      </c>
    </row>
    <row r="110" spans="16:24" x14ac:dyDescent="0.25">
      <c r="U110">
        <v>242</v>
      </c>
      <c r="V110">
        <v>7</v>
      </c>
      <c r="W110">
        <v>346</v>
      </c>
      <c r="X110">
        <v>8</v>
      </c>
    </row>
    <row r="111" spans="16:24" x14ac:dyDescent="0.25">
      <c r="U111">
        <v>6</v>
      </c>
      <c r="V111">
        <v>7</v>
      </c>
      <c r="W111">
        <v>113</v>
      </c>
      <c r="X111">
        <v>8</v>
      </c>
    </row>
    <row r="112" spans="16:24" x14ac:dyDescent="0.25">
      <c r="U112">
        <v>341</v>
      </c>
      <c r="V112">
        <v>12</v>
      </c>
      <c r="W112">
        <v>102</v>
      </c>
      <c r="X112">
        <v>8</v>
      </c>
    </row>
    <row r="113" spans="21:24" x14ac:dyDescent="0.25">
      <c r="U113">
        <v>29</v>
      </c>
      <c r="V113">
        <v>8</v>
      </c>
      <c r="W113">
        <v>256</v>
      </c>
      <c r="X113">
        <v>8</v>
      </c>
    </row>
    <row r="114" spans="21:24" x14ac:dyDescent="0.25">
      <c r="U114">
        <v>81</v>
      </c>
      <c r="V114">
        <v>4</v>
      </c>
      <c r="W114">
        <v>4</v>
      </c>
      <c r="X114">
        <v>8</v>
      </c>
    </row>
    <row r="115" spans="21:24" x14ac:dyDescent="0.25">
      <c r="U115">
        <v>39</v>
      </c>
      <c r="V115">
        <v>11</v>
      </c>
      <c r="W115">
        <v>214</v>
      </c>
      <c r="X115">
        <v>8</v>
      </c>
    </row>
    <row r="116" spans="21:24" x14ac:dyDescent="0.25">
      <c r="U116">
        <v>51</v>
      </c>
      <c r="V116">
        <v>5</v>
      </c>
      <c r="W116">
        <v>201</v>
      </c>
      <c r="X116">
        <v>8</v>
      </c>
    </row>
    <row r="117" spans="21:24" x14ac:dyDescent="0.25">
      <c r="U117">
        <v>117</v>
      </c>
      <c r="V117">
        <v>11</v>
      </c>
      <c r="W117">
        <v>362</v>
      </c>
      <c r="X117">
        <v>8</v>
      </c>
    </row>
    <row r="118" spans="21:24" x14ac:dyDescent="0.25">
      <c r="U118">
        <v>353</v>
      </c>
      <c r="V118">
        <v>4</v>
      </c>
      <c r="W118">
        <v>361</v>
      </c>
      <c r="X118">
        <v>9</v>
      </c>
    </row>
    <row r="119" spans="21:24" x14ac:dyDescent="0.25">
      <c r="U119">
        <v>10</v>
      </c>
      <c r="V119">
        <v>6</v>
      </c>
      <c r="W119">
        <v>229</v>
      </c>
      <c r="X119">
        <v>9</v>
      </c>
    </row>
    <row r="120" spans="21:24" x14ac:dyDescent="0.25">
      <c r="U120">
        <v>279</v>
      </c>
      <c r="V120">
        <v>6</v>
      </c>
      <c r="W120">
        <v>170</v>
      </c>
      <c r="X120">
        <v>9</v>
      </c>
    </row>
    <row r="121" spans="21:24" x14ac:dyDescent="0.25">
      <c r="U121">
        <v>68</v>
      </c>
      <c r="V121">
        <v>18</v>
      </c>
      <c r="W121">
        <v>45</v>
      </c>
      <c r="X121">
        <v>9</v>
      </c>
    </row>
    <row r="122" spans="21:24" x14ac:dyDescent="0.25">
      <c r="U122">
        <v>11</v>
      </c>
      <c r="V122">
        <v>6</v>
      </c>
      <c r="W122">
        <v>328</v>
      </c>
      <c r="X122">
        <v>9</v>
      </c>
    </row>
    <row r="123" spans="21:24" x14ac:dyDescent="0.25">
      <c r="U123">
        <v>391</v>
      </c>
      <c r="V123">
        <v>10</v>
      </c>
      <c r="W123">
        <v>172</v>
      </c>
      <c r="X123">
        <v>9</v>
      </c>
    </row>
    <row r="124" spans="21:24" x14ac:dyDescent="0.25">
      <c r="U124">
        <v>15</v>
      </c>
      <c r="V124">
        <v>6</v>
      </c>
      <c r="W124">
        <v>181</v>
      </c>
      <c r="X124">
        <v>9</v>
      </c>
    </row>
    <row r="125" spans="21:24" x14ac:dyDescent="0.25">
      <c r="U125">
        <v>282</v>
      </c>
      <c r="V125">
        <v>7</v>
      </c>
      <c r="W125">
        <v>70</v>
      </c>
      <c r="X125">
        <v>9</v>
      </c>
    </row>
    <row r="126" spans="21:24" x14ac:dyDescent="0.25">
      <c r="U126">
        <v>118</v>
      </c>
      <c r="V126">
        <v>5</v>
      </c>
      <c r="W126">
        <v>238</v>
      </c>
      <c r="X126">
        <v>9</v>
      </c>
    </row>
    <row r="127" spans="21:24" x14ac:dyDescent="0.25">
      <c r="U127">
        <v>2</v>
      </c>
      <c r="V127">
        <v>10</v>
      </c>
      <c r="W127">
        <v>320</v>
      </c>
      <c r="X127">
        <v>9</v>
      </c>
    </row>
    <row r="128" spans="21:24" x14ac:dyDescent="0.25">
      <c r="U128">
        <v>363</v>
      </c>
      <c r="V128">
        <v>5</v>
      </c>
      <c r="W128">
        <v>98</v>
      </c>
      <c r="X128">
        <v>9</v>
      </c>
    </row>
    <row r="129" spans="21:24" x14ac:dyDescent="0.25">
      <c r="U129">
        <v>61</v>
      </c>
      <c r="V129">
        <v>10</v>
      </c>
      <c r="W129">
        <v>275</v>
      </c>
      <c r="X129">
        <v>9</v>
      </c>
    </row>
    <row r="130" spans="21:24" x14ac:dyDescent="0.25">
      <c r="U130">
        <v>79</v>
      </c>
      <c r="V130">
        <v>14</v>
      </c>
      <c r="W130">
        <v>85</v>
      </c>
      <c r="X130">
        <v>9</v>
      </c>
    </row>
    <row r="131" spans="21:24" x14ac:dyDescent="0.25">
      <c r="U131">
        <v>129</v>
      </c>
      <c r="V131">
        <v>3</v>
      </c>
      <c r="W131">
        <v>191</v>
      </c>
      <c r="X131">
        <v>9</v>
      </c>
    </row>
    <row r="132" spans="21:24" x14ac:dyDescent="0.25">
      <c r="U132">
        <v>327</v>
      </c>
      <c r="V132">
        <v>3</v>
      </c>
      <c r="W132">
        <v>25</v>
      </c>
      <c r="X132">
        <v>9</v>
      </c>
    </row>
    <row r="133" spans="21:24" x14ac:dyDescent="0.25">
      <c r="U133">
        <v>192</v>
      </c>
      <c r="V133">
        <v>8</v>
      </c>
      <c r="W133">
        <v>347</v>
      </c>
      <c r="X133">
        <v>9</v>
      </c>
    </row>
    <row r="134" spans="21:24" x14ac:dyDescent="0.25">
      <c r="U134">
        <v>211</v>
      </c>
      <c r="V134">
        <v>10</v>
      </c>
      <c r="W134">
        <v>108</v>
      </c>
      <c r="X134">
        <v>9</v>
      </c>
    </row>
    <row r="135" spans="21:24" x14ac:dyDescent="0.25">
      <c r="U135">
        <v>136</v>
      </c>
      <c r="V135">
        <v>8</v>
      </c>
      <c r="W135">
        <v>350</v>
      </c>
      <c r="X135">
        <v>9</v>
      </c>
    </row>
    <row r="136" spans="21:24" x14ac:dyDescent="0.25">
      <c r="U136">
        <v>396</v>
      </c>
      <c r="V136">
        <v>11</v>
      </c>
      <c r="W136">
        <v>64</v>
      </c>
      <c r="X136">
        <v>9</v>
      </c>
    </row>
    <row r="137" spans="21:24" x14ac:dyDescent="0.25">
      <c r="U137">
        <v>359</v>
      </c>
      <c r="V137">
        <v>10</v>
      </c>
      <c r="W137">
        <v>288</v>
      </c>
      <c r="X137">
        <v>9</v>
      </c>
    </row>
    <row r="138" spans="21:24" x14ac:dyDescent="0.25">
      <c r="U138">
        <v>90</v>
      </c>
      <c r="V138">
        <v>13</v>
      </c>
      <c r="W138">
        <v>367</v>
      </c>
      <c r="X138">
        <v>9</v>
      </c>
    </row>
    <row r="139" spans="21:24" x14ac:dyDescent="0.25">
      <c r="U139">
        <v>162</v>
      </c>
      <c r="V139">
        <v>7</v>
      </c>
      <c r="W139">
        <v>298</v>
      </c>
      <c r="X139">
        <v>10</v>
      </c>
    </row>
    <row r="140" spans="21:24" x14ac:dyDescent="0.25">
      <c r="U140">
        <v>275</v>
      </c>
      <c r="V140">
        <v>9</v>
      </c>
      <c r="W140">
        <v>216</v>
      </c>
      <c r="X140">
        <v>10</v>
      </c>
    </row>
    <row r="141" spans="21:24" x14ac:dyDescent="0.25">
      <c r="U141">
        <v>346</v>
      </c>
      <c r="V141">
        <v>8</v>
      </c>
      <c r="W141">
        <v>28</v>
      </c>
      <c r="X141">
        <v>10</v>
      </c>
    </row>
    <row r="142" spans="21:24" x14ac:dyDescent="0.25">
      <c r="U142">
        <v>325</v>
      </c>
      <c r="V142">
        <v>5</v>
      </c>
      <c r="W142">
        <v>245</v>
      </c>
      <c r="X142">
        <v>10</v>
      </c>
    </row>
    <row r="143" spans="21:24" x14ac:dyDescent="0.25">
      <c r="U143">
        <v>152</v>
      </c>
      <c r="V143">
        <v>6</v>
      </c>
      <c r="W143">
        <v>321</v>
      </c>
      <c r="X143">
        <v>10</v>
      </c>
    </row>
    <row r="144" spans="21:24" x14ac:dyDescent="0.25">
      <c r="U144">
        <v>226</v>
      </c>
      <c r="V144">
        <v>5</v>
      </c>
      <c r="W144">
        <v>59</v>
      </c>
      <c r="X144">
        <v>10</v>
      </c>
    </row>
    <row r="145" spans="21:24" x14ac:dyDescent="0.25">
      <c r="U145">
        <v>113</v>
      </c>
      <c r="V145">
        <v>8</v>
      </c>
      <c r="W145">
        <v>20</v>
      </c>
      <c r="X145">
        <v>10</v>
      </c>
    </row>
    <row r="146" spans="21:24" x14ac:dyDescent="0.25">
      <c r="U146">
        <v>85</v>
      </c>
      <c r="V146">
        <v>9</v>
      </c>
      <c r="W146">
        <v>109</v>
      </c>
      <c r="X146">
        <v>10</v>
      </c>
    </row>
    <row r="147" spans="21:24" x14ac:dyDescent="0.25">
      <c r="U147">
        <v>119</v>
      </c>
      <c r="V147">
        <v>7</v>
      </c>
      <c r="W147">
        <v>1</v>
      </c>
      <c r="X147">
        <v>10</v>
      </c>
    </row>
    <row r="148" spans="21:24" x14ac:dyDescent="0.25">
      <c r="U148">
        <v>41</v>
      </c>
      <c r="V148">
        <v>6</v>
      </c>
      <c r="W148">
        <v>213</v>
      </c>
      <c r="X148">
        <v>10</v>
      </c>
    </row>
    <row r="149" spans="21:24" x14ac:dyDescent="0.25">
      <c r="U149">
        <v>382</v>
      </c>
      <c r="V149">
        <v>6</v>
      </c>
      <c r="W149">
        <v>101</v>
      </c>
      <c r="X149">
        <v>10</v>
      </c>
    </row>
    <row r="150" spans="21:24" x14ac:dyDescent="0.25">
      <c r="U150">
        <v>280</v>
      </c>
      <c r="V150">
        <v>11</v>
      </c>
      <c r="W150">
        <v>273</v>
      </c>
      <c r="X150">
        <v>10</v>
      </c>
    </row>
    <row r="151" spans="21:24" x14ac:dyDescent="0.25">
      <c r="U151">
        <v>155</v>
      </c>
      <c r="V151">
        <v>10</v>
      </c>
      <c r="W151">
        <v>164</v>
      </c>
      <c r="X151">
        <v>10</v>
      </c>
    </row>
    <row r="152" spans="21:24" x14ac:dyDescent="0.25">
      <c r="U152">
        <v>180</v>
      </c>
      <c r="V152">
        <v>6</v>
      </c>
      <c r="W152">
        <v>331</v>
      </c>
      <c r="X152">
        <v>10</v>
      </c>
    </row>
    <row r="153" spans="21:24" x14ac:dyDescent="0.25">
      <c r="U153">
        <v>316</v>
      </c>
      <c r="V153">
        <v>4</v>
      </c>
      <c r="W153">
        <v>13</v>
      </c>
      <c r="X153">
        <v>10</v>
      </c>
    </row>
    <row r="154" spans="21:24" x14ac:dyDescent="0.25">
      <c r="U154">
        <v>324</v>
      </c>
      <c r="V154">
        <v>12</v>
      </c>
      <c r="W154">
        <v>217</v>
      </c>
      <c r="X154">
        <v>10</v>
      </c>
    </row>
    <row r="155" spans="21:24" x14ac:dyDescent="0.25">
      <c r="U155">
        <v>92</v>
      </c>
      <c r="V155">
        <v>7</v>
      </c>
      <c r="W155">
        <v>132</v>
      </c>
      <c r="X155">
        <v>10</v>
      </c>
    </row>
    <row r="156" spans="21:24" x14ac:dyDescent="0.25">
      <c r="U156">
        <v>139</v>
      </c>
      <c r="V156">
        <v>6</v>
      </c>
      <c r="W156">
        <v>391</v>
      </c>
      <c r="X156">
        <v>10</v>
      </c>
    </row>
    <row r="157" spans="21:24" x14ac:dyDescent="0.25">
      <c r="U157">
        <v>225</v>
      </c>
      <c r="V157">
        <v>10</v>
      </c>
      <c r="W157">
        <v>2</v>
      </c>
      <c r="X157">
        <v>10</v>
      </c>
    </row>
    <row r="158" spans="21:24" x14ac:dyDescent="0.25">
      <c r="U158">
        <v>191</v>
      </c>
      <c r="V158">
        <v>9</v>
      </c>
      <c r="W158">
        <v>61</v>
      </c>
      <c r="X158">
        <v>10</v>
      </c>
    </row>
    <row r="159" spans="21:24" x14ac:dyDescent="0.25">
      <c r="U159">
        <v>120</v>
      </c>
      <c r="V159">
        <v>12</v>
      </c>
      <c r="W159">
        <v>211</v>
      </c>
      <c r="X159">
        <v>10</v>
      </c>
    </row>
    <row r="160" spans="21:24" x14ac:dyDescent="0.25">
      <c r="U160">
        <v>78</v>
      </c>
      <c r="V160">
        <v>10</v>
      </c>
      <c r="W160">
        <v>359</v>
      </c>
      <c r="X160">
        <v>10</v>
      </c>
    </row>
    <row r="161" spans="21:24" x14ac:dyDescent="0.25">
      <c r="U161">
        <v>395</v>
      </c>
      <c r="V161">
        <v>7</v>
      </c>
      <c r="W161">
        <v>155</v>
      </c>
      <c r="X161">
        <v>10</v>
      </c>
    </row>
    <row r="162" spans="21:24" x14ac:dyDescent="0.25">
      <c r="U162">
        <v>249</v>
      </c>
      <c r="V162">
        <v>12</v>
      </c>
      <c r="W162">
        <v>225</v>
      </c>
      <c r="X162">
        <v>10</v>
      </c>
    </row>
    <row r="163" spans="21:24" x14ac:dyDescent="0.25">
      <c r="U163">
        <v>102</v>
      </c>
      <c r="V163">
        <v>8</v>
      </c>
      <c r="W163">
        <v>78</v>
      </c>
      <c r="X163">
        <v>10</v>
      </c>
    </row>
    <row r="164" spans="21:24" x14ac:dyDescent="0.25">
      <c r="U164">
        <v>128</v>
      </c>
      <c r="V164">
        <v>13</v>
      </c>
      <c r="W164">
        <v>290</v>
      </c>
      <c r="X164">
        <v>10</v>
      </c>
    </row>
    <row r="165" spans="21:24" x14ac:dyDescent="0.25">
      <c r="U165">
        <v>251</v>
      </c>
      <c r="V165">
        <v>11</v>
      </c>
      <c r="W165">
        <v>240</v>
      </c>
      <c r="X165">
        <v>10</v>
      </c>
    </row>
    <row r="166" spans="21:24" x14ac:dyDescent="0.25">
      <c r="U166">
        <v>193</v>
      </c>
      <c r="V166">
        <v>12</v>
      </c>
      <c r="W166">
        <v>197</v>
      </c>
      <c r="X166">
        <v>10</v>
      </c>
    </row>
    <row r="167" spans="21:24" x14ac:dyDescent="0.25">
      <c r="U167">
        <v>358</v>
      </c>
      <c r="V167">
        <v>4</v>
      </c>
      <c r="W167">
        <v>365</v>
      </c>
      <c r="X167">
        <v>11</v>
      </c>
    </row>
    <row r="168" spans="21:24" x14ac:dyDescent="0.25">
      <c r="U168">
        <v>94</v>
      </c>
      <c r="V168">
        <v>7</v>
      </c>
      <c r="W168">
        <v>241</v>
      </c>
      <c r="X168">
        <v>11</v>
      </c>
    </row>
    <row r="169" spans="21:24" x14ac:dyDescent="0.25">
      <c r="U169">
        <v>342</v>
      </c>
      <c r="V169">
        <v>5</v>
      </c>
      <c r="W169">
        <v>52</v>
      </c>
      <c r="X169">
        <v>11</v>
      </c>
    </row>
    <row r="170" spans="21:24" x14ac:dyDescent="0.25">
      <c r="U170">
        <v>371</v>
      </c>
      <c r="V170">
        <v>4</v>
      </c>
      <c r="W170">
        <v>116</v>
      </c>
      <c r="X170">
        <v>11</v>
      </c>
    </row>
    <row r="171" spans="21:24" x14ac:dyDescent="0.25">
      <c r="U171">
        <v>256</v>
      </c>
      <c r="V171">
        <v>8</v>
      </c>
      <c r="W171">
        <v>75</v>
      </c>
      <c r="X171">
        <v>11</v>
      </c>
    </row>
    <row r="172" spans="21:24" x14ac:dyDescent="0.25">
      <c r="U172">
        <v>31</v>
      </c>
      <c r="V172">
        <v>3</v>
      </c>
      <c r="W172">
        <v>372</v>
      </c>
      <c r="X172">
        <v>11</v>
      </c>
    </row>
    <row r="173" spans="21:24" x14ac:dyDescent="0.25">
      <c r="U173">
        <v>239</v>
      </c>
      <c r="V173">
        <v>5</v>
      </c>
      <c r="W173">
        <v>39</v>
      </c>
      <c r="X173">
        <v>11</v>
      </c>
    </row>
    <row r="174" spans="21:24" x14ac:dyDescent="0.25">
      <c r="U174">
        <v>25</v>
      </c>
      <c r="V174">
        <v>9</v>
      </c>
      <c r="W174">
        <v>117</v>
      </c>
      <c r="X174">
        <v>11</v>
      </c>
    </row>
    <row r="175" spans="21:24" x14ac:dyDescent="0.25">
      <c r="U175">
        <v>347</v>
      </c>
      <c r="V175">
        <v>9</v>
      </c>
      <c r="W175">
        <v>396</v>
      </c>
      <c r="X175">
        <v>11</v>
      </c>
    </row>
    <row r="176" spans="21:24" x14ac:dyDescent="0.25">
      <c r="U176">
        <v>4</v>
      </c>
      <c r="V176">
        <v>8</v>
      </c>
      <c r="W176">
        <v>280</v>
      </c>
      <c r="X176">
        <v>11</v>
      </c>
    </row>
    <row r="177" spans="21:24" x14ac:dyDescent="0.25">
      <c r="U177">
        <v>291</v>
      </c>
      <c r="V177">
        <v>13</v>
      </c>
      <c r="W177">
        <v>251</v>
      </c>
      <c r="X177">
        <v>11</v>
      </c>
    </row>
    <row r="178" spans="21:24" x14ac:dyDescent="0.25">
      <c r="U178">
        <v>246</v>
      </c>
      <c r="V178">
        <v>7</v>
      </c>
      <c r="W178">
        <v>127</v>
      </c>
      <c r="X178">
        <v>11</v>
      </c>
    </row>
    <row r="179" spans="21:24" x14ac:dyDescent="0.25">
      <c r="U179">
        <v>108</v>
      </c>
      <c r="V179">
        <v>9</v>
      </c>
      <c r="W179">
        <v>37</v>
      </c>
      <c r="X179">
        <v>12</v>
      </c>
    </row>
    <row r="180" spans="21:24" x14ac:dyDescent="0.25">
      <c r="U180">
        <v>44</v>
      </c>
      <c r="V180">
        <v>6</v>
      </c>
      <c r="W180">
        <v>147</v>
      </c>
      <c r="X180">
        <v>12</v>
      </c>
    </row>
    <row r="181" spans="21:24" x14ac:dyDescent="0.25">
      <c r="U181">
        <v>350</v>
      </c>
      <c r="V181">
        <v>9</v>
      </c>
      <c r="W181">
        <v>205</v>
      </c>
      <c r="X181">
        <v>12</v>
      </c>
    </row>
    <row r="182" spans="21:24" x14ac:dyDescent="0.25">
      <c r="U182">
        <v>214</v>
      </c>
      <c r="V182">
        <v>8</v>
      </c>
      <c r="W182">
        <v>341</v>
      </c>
      <c r="X182">
        <v>12</v>
      </c>
    </row>
    <row r="183" spans="21:24" x14ac:dyDescent="0.25">
      <c r="U183">
        <v>201</v>
      </c>
      <c r="V183">
        <v>8</v>
      </c>
      <c r="W183">
        <v>324</v>
      </c>
      <c r="X183">
        <v>12</v>
      </c>
    </row>
    <row r="184" spans="21:24" x14ac:dyDescent="0.25">
      <c r="U184">
        <v>64</v>
      </c>
      <c r="V184">
        <v>9</v>
      </c>
      <c r="W184">
        <v>120</v>
      </c>
      <c r="X184">
        <v>12</v>
      </c>
    </row>
    <row r="185" spans="21:24" x14ac:dyDescent="0.25">
      <c r="U185">
        <v>130</v>
      </c>
      <c r="V185">
        <v>1</v>
      </c>
      <c r="W185">
        <v>249</v>
      </c>
      <c r="X185">
        <v>12</v>
      </c>
    </row>
    <row r="186" spans="21:24" x14ac:dyDescent="0.25">
      <c r="U186">
        <v>174</v>
      </c>
      <c r="V186">
        <v>14</v>
      </c>
      <c r="W186">
        <v>193</v>
      </c>
      <c r="X186">
        <v>12</v>
      </c>
    </row>
    <row r="187" spans="21:24" x14ac:dyDescent="0.25">
      <c r="U187">
        <v>243</v>
      </c>
      <c r="V187">
        <v>7</v>
      </c>
      <c r="W187">
        <v>397</v>
      </c>
      <c r="X187">
        <v>13</v>
      </c>
    </row>
    <row r="188" spans="21:24" x14ac:dyDescent="0.25">
      <c r="U188">
        <v>257</v>
      </c>
      <c r="V188">
        <v>5</v>
      </c>
      <c r="W188">
        <v>188</v>
      </c>
      <c r="X188">
        <v>13</v>
      </c>
    </row>
    <row r="189" spans="21:24" x14ac:dyDescent="0.25">
      <c r="U189">
        <v>254</v>
      </c>
      <c r="V189">
        <v>1</v>
      </c>
      <c r="W189">
        <v>176</v>
      </c>
      <c r="X189">
        <v>13</v>
      </c>
    </row>
    <row r="190" spans="21:24" x14ac:dyDescent="0.25">
      <c r="U190">
        <v>288</v>
      </c>
      <c r="V190">
        <v>9</v>
      </c>
      <c r="W190">
        <v>99</v>
      </c>
      <c r="X190">
        <v>13</v>
      </c>
    </row>
    <row r="191" spans="21:24" x14ac:dyDescent="0.25">
      <c r="U191">
        <v>367</v>
      </c>
      <c r="V191">
        <v>9</v>
      </c>
      <c r="W191">
        <v>90</v>
      </c>
      <c r="X191">
        <v>13</v>
      </c>
    </row>
    <row r="192" spans="21:24" x14ac:dyDescent="0.25">
      <c r="U192">
        <v>127</v>
      </c>
      <c r="V192">
        <v>11</v>
      </c>
      <c r="W192">
        <v>128</v>
      </c>
      <c r="X192">
        <v>13</v>
      </c>
    </row>
    <row r="193" spans="21:24" x14ac:dyDescent="0.25">
      <c r="U193">
        <v>290</v>
      </c>
      <c r="V193">
        <v>10</v>
      </c>
      <c r="W193">
        <v>291</v>
      </c>
      <c r="X193">
        <v>13</v>
      </c>
    </row>
    <row r="194" spans="21:24" x14ac:dyDescent="0.25">
      <c r="U194">
        <v>105</v>
      </c>
      <c r="V194">
        <v>7</v>
      </c>
      <c r="W194">
        <v>389</v>
      </c>
      <c r="X194">
        <v>14</v>
      </c>
    </row>
    <row r="195" spans="21:24" x14ac:dyDescent="0.25">
      <c r="U195">
        <v>283</v>
      </c>
      <c r="V195">
        <v>7</v>
      </c>
      <c r="W195">
        <v>122</v>
      </c>
      <c r="X195">
        <v>14</v>
      </c>
    </row>
    <row r="196" spans="21:24" x14ac:dyDescent="0.25">
      <c r="U196">
        <v>240</v>
      </c>
      <c r="V196">
        <v>10</v>
      </c>
      <c r="W196">
        <v>79</v>
      </c>
      <c r="X196">
        <v>14</v>
      </c>
    </row>
    <row r="197" spans="21:24" x14ac:dyDescent="0.25">
      <c r="U197">
        <v>153</v>
      </c>
      <c r="V197">
        <v>7</v>
      </c>
      <c r="W197">
        <v>174</v>
      </c>
      <c r="X197">
        <v>14</v>
      </c>
    </row>
    <row r="198" spans="21:24" x14ac:dyDescent="0.25">
      <c r="U198">
        <v>227</v>
      </c>
      <c r="V198">
        <v>7</v>
      </c>
      <c r="W198">
        <v>293</v>
      </c>
      <c r="X198">
        <v>15</v>
      </c>
    </row>
    <row r="199" spans="21:24" x14ac:dyDescent="0.25">
      <c r="U199">
        <v>362</v>
      </c>
      <c r="V199">
        <v>8</v>
      </c>
      <c r="W199">
        <v>43</v>
      </c>
      <c r="X199">
        <v>15</v>
      </c>
    </row>
    <row r="200" spans="21:24" x14ac:dyDescent="0.25">
      <c r="U200">
        <v>197</v>
      </c>
      <c r="V200">
        <v>10</v>
      </c>
      <c r="W200">
        <v>237</v>
      </c>
      <c r="X200">
        <v>16</v>
      </c>
    </row>
    <row r="201" spans="21:24" x14ac:dyDescent="0.25">
      <c r="U201">
        <v>3</v>
      </c>
      <c r="V201">
        <v>7</v>
      </c>
      <c r="W201">
        <v>68</v>
      </c>
      <c r="X201">
        <v>18</v>
      </c>
    </row>
  </sheetData>
  <sortState xmlns:xlrd2="http://schemas.microsoft.com/office/spreadsheetml/2017/richdata2" ref="W2:X202">
    <sortCondition ref="X1:X202"/>
  </sortState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0FB6-6EC6-434E-943F-E39C3F441221}">
  <dimension ref="A1:N8"/>
  <sheetViews>
    <sheetView tabSelected="1" zoomScale="108" workbookViewId="0">
      <selection activeCell="N10" sqref="N10"/>
    </sheetView>
  </sheetViews>
  <sheetFormatPr defaultRowHeight="15" x14ac:dyDescent="0.25"/>
  <cols>
    <col min="1" max="1" width="27.42578125" customWidth="1"/>
    <col min="6" max="6" width="11.140625" customWidth="1"/>
    <col min="8" max="8" width="10.85546875" customWidth="1"/>
    <col min="9" max="9" width="21.5703125" customWidth="1"/>
    <col min="10" max="10" width="14.5703125" customWidth="1"/>
    <col min="11" max="11" width="15.85546875" customWidth="1"/>
    <col min="12" max="12" width="23" customWidth="1"/>
    <col min="13" max="13" width="14.140625" customWidth="1"/>
    <col min="14" max="14" width="15.42578125" customWidth="1"/>
  </cols>
  <sheetData>
    <row r="1" spans="1:14" s="1" customFormat="1" x14ac:dyDescent="0.25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21</v>
      </c>
      <c r="K1" s="1" t="s">
        <v>20</v>
      </c>
      <c r="L1" s="1" t="s">
        <v>19</v>
      </c>
      <c r="M1" s="1" t="s">
        <v>24</v>
      </c>
      <c r="N1" s="1" t="s">
        <v>23</v>
      </c>
    </row>
    <row r="2" spans="1:14" x14ac:dyDescent="0.25">
      <c r="A2" t="s">
        <v>10</v>
      </c>
      <c r="B2">
        <v>400</v>
      </c>
      <c r="C2">
        <f>AVERAGE('Генеральная совокупность'!B:B)</f>
        <v>7.9874999999999998</v>
      </c>
      <c r="D2">
        <f>MEDIAN('Генеральная совокупность'!B:B)</f>
        <v>8</v>
      </c>
      <c r="E2">
        <f>_xlfn.MODE.SNGL('Генеральная совокупность'!B:B)</f>
        <v>6</v>
      </c>
      <c r="F2">
        <f>_xlfn.VAR.P('Генеральная совокупность'!B:B)</f>
        <v>8.27734375</v>
      </c>
      <c r="G2">
        <f>SQRT(F2)</f>
        <v>2.8770373216209761</v>
      </c>
      <c r="H2">
        <f>_xlfn.STDEV.P('Генеральная совокупность'!B:B)/SQRT(Статистики!B2)</f>
        <v>0.1438518660810488</v>
      </c>
      <c r="I2">
        <f>_xlfn.CONFIDENCE.T(0.05,_xlfn.STDEV.P('Генеральная совокупность'!B:B),Статистики!B2)</f>
        <v>0.28280231009789059</v>
      </c>
      <c r="J2">
        <f>C2-I2</f>
        <v>7.7046976899021091</v>
      </c>
      <c r="K2">
        <f>C2+I2</f>
        <v>8.2703023100978896</v>
      </c>
      <c r="L2">
        <f>(B2-1)*F2/_xlfn.CHISQ.INV.RT(0.975,B2-1)-(B2-1)*F2/_xlfn.CHISQ.INV.RT(0.025,B2-1)</f>
        <v>2.3187322129305556</v>
      </c>
      <c r="M2">
        <f>(B2-1)*F2/_xlfn.CHISQ.INV.RT(0.025,B2-1)</f>
        <v>7.2389275513321731</v>
      </c>
      <c r="N2">
        <f>(B2-1)*F2/_xlfn.CHISQ.INV.RT(0.975,B2-1)</f>
        <v>9.5576597642627288</v>
      </c>
    </row>
    <row r="3" spans="1:14" x14ac:dyDescent="0.25">
      <c r="A3" t="s">
        <v>25</v>
      </c>
      <c r="B3">
        <v>10</v>
      </c>
      <c r="C3">
        <f>AVERAGE(Подвыборки!B:B)</f>
        <v>11.1</v>
      </c>
      <c r="D3">
        <f>MEDIAN(Подвыборки!D:D)</f>
        <v>12</v>
      </c>
      <c r="E3">
        <f>_xlfn.MODE.SNGL(Подвыборки!B:B)</f>
        <v>8</v>
      </c>
      <c r="F3">
        <f>_xlfn.VAR.S(Подвыборки!B:B)</f>
        <v>12.544444444444455</v>
      </c>
      <c r="G3">
        <f t="shared" ref="G3:G7" si="0">SQRT(F3)</f>
        <v>3.5418137224372002</v>
      </c>
      <c r="H3">
        <f>_xlfn.STDEV.S(Подвыборки!B:B)/SQRT(Статистики!B3)</f>
        <v>1.1200198410940967</v>
      </c>
      <c r="I3">
        <f>_xlfn.CONFIDENCE.T(0.05,_xlfn.STDEV.S(Подвыборки!B:B),Статистики!B3)</f>
        <v>2.5336609060071185</v>
      </c>
      <c r="J3">
        <f t="shared" ref="J3:J7" si="1">C3-I3</f>
        <v>8.5663390939928803</v>
      </c>
      <c r="K3">
        <f t="shared" ref="K3:K7" si="2">C3+I3</f>
        <v>13.633660906007119</v>
      </c>
      <c r="L3">
        <f>(B3-1)*F3/_xlfn.CHISQ.INV.RT(0.975,B3-1)-(B3-1)*F3/_xlfn.CHISQ.INV.RT(0.025,B3-1)</f>
        <v>35.873790181140912</v>
      </c>
      <c r="M3">
        <f t="shared" ref="M3:M7" si="3">(B3-1)*F3/_xlfn.CHISQ.INV.RT(0.025,B3-1)</f>
        <v>5.9349933298382576</v>
      </c>
      <c r="N3">
        <f t="shared" ref="N3:N8" si="4">(B3-1)*F3/_xlfn.CHISQ.INV.RT(0.975,B3-1)</f>
        <v>41.808783510979168</v>
      </c>
    </row>
    <row r="4" spans="1:14" x14ac:dyDescent="0.25">
      <c r="A4" t="s">
        <v>26</v>
      </c>
      <c r="B4">
        <v>25</v>
      </c>
      <c r="C4">
        <f>AVERAGE(Подвыборки!G:G)</f>
        <v>7.68</v>
      </c>
      <c r="D4">
        <f>MEDIAN(Подвыборки!I:I)</f>
        <v>7</v>
      </c>
      <c r="E4">
        <f>_xlfn.MODE.SNGL(Подвыборки!G:G)</f>
        <v>7</v>
      </c>
      <c r="F4">
        <f>_xlfn.VAR.S(Подвыборки!G:G)</f>
        <v>7.8933333333333353</v>
      </c>
      <c r="G4">
        <f t="shared" si="0"/>
        <v>2.8095076674273973</v>
      </c>
      <c r="H4">
        <f>_xlfn.STDEV.S(Подвыборки!G:G)/SQRT(Статистики!B4)</f>
        <v>0.56190153348547944</v>
      </c>
      <c r="I4">
        <f>_xlfn.CONFIDENCE.T(0.05,_xlfn.STDEV.S(Подвыборки!G:G),Статистики!B4)</f>
        <v>1.1597077667372628</v>
      </c>
      <c r="J4">
        <f t="shared" si="1"/>
        <v>6.5202922332627367</v>
      </c>
      <c r="K4">
        <f t="shared" si="2"/>
        <v>8.8397077667372628</v>
      </c>
      <c r="L4">
        <f t="shared" ref="L3:L7" si="5">(B4-1)*F4/_xlfn.CHISQ.INV.RT(0.975,B4-1)-(B4-1)*F4/_xlfn.CHISQ.INV.RT(0.025,B4-1)</f>
        <v>10.463492725006308</v>
      </c>
      <c r="M4">
        <f t="shared" si="3"/>
        <v>4.8125096359294401</v>
      </c>
      <c r="N4">
        <f t="shared" si="4"/>
        <v>15.276002360935747</v>
      </c>
    </row>
    <row r="5" spans="1:14" x14ac:dyDescent="0.25">
      <c r="A5" t="s">
        <v>27</v>
      </c>
      <c r="B5">
        <v>50</v>
      </c>
      <c r="C5">
        <f>AVERAGE(Подвыборки!L:L)</f>
        <v>8.34</v>
      </c>
      <c r="D5">
        <f>MEDIAN(Подвыборки!N:N)</f>
        <v>8</v>
      </c>
      <c r="E5">
        <f>_xlfn.MODE.SNGL(Подвыборки!L:L)</f>
        <v>8</v>
      </c>
      <c r="F5">
        <f>_xlfn.VAR.S(Подвыборки!L:L)</f>
        <v>11.249387755102036</v>
      </c>
      <c r="G5">
        <f t="shared" si="0"/>
        <v>3.3540106969271934</v>
      </c>
      <c r="H5">
        <f>_xlfn.STDEV.S(Подвыборки!L:L)/SQRT(Статистики!B5)</f>
        <v>0.47432874159388733</v>
      </c>
      <c r="I5">
        <f>_xlfn.CONFIDENCE.T(0.05,_xlfn.STDEV.S(Подвыборки!L:L),Статистики!B5)</f>
        <v>0.9531992933657496</v>
      </c>
      <c r="J5">
        <f t="shared" si="1"/>
        <v>7.3868007066342507</v>
      </c>
      <c r="K5">
        <f t="shared" si="2"/>
        <v>9.293199293365749</v>
      </c>
      <c r="L5">
        <f t="shared" si="5"/>
        <v>9.6189627172949166</v>
      </c>
      <c r="M5">
        <f t="shared" si="3"/>
        <v>7.8496305097590131</v>
      </c>
      <c r="N5">
        <f t="shared" si="4"/>
        <v>17.46859322705393</v>
      </c>
    </row>
    <row r="6" spans="1:14" x14ac:dyDescent="0.25">
      <c r="A6" t="s">
        <v>28</v>
      </c>
      <c r="B6">
        <v>100</v>
      </c>
      <c r="C6">
        <f>AVERAGE(Подвыборки!Q:Q)</f>
        <v>7.84</v>
      </c>
      <c r="D6">
        <f>MEDIAN(Подвыборки!S:S)</f>
        <v>8</v>
      </c>
      <c r="E6">
        <f>_xlfn.MODE.SNGL(Подвыборки!Q:Q)</f>
        <v>8</v>
      </c>
      <c r="F6">
        <f>_xlfn.VAR.S(Подвыборки!Q:Q)</f>
        <v>8.2367676767676734</v>
      </c>
      <c r="G6">
        <f t="shared" si="0"/>
        <v>2.8699769470794836</v>
      </c>
      <c r="H6">
        <f>_xlfn.STDEV.S(Подвыборки!Q:Q)/SQRT(Статистики!B6)</f>
        <v>0.28699769470794834</v>
      </c>
      <c r="I6">
        <f>_xlfn.CONFIDENCE.T(0.05,_xlfn.STDEV.S(Подвыборки!Q:Q),Статистики!B6)</f>
        <v>0.56946569090573429</v>
      </c>
      <c r="J6">
        <f t="shared" si="1"/>
        <v>7.2705343090942653</v>
      </c>
      <c r="K6">
        <f t="shared" si="2"/>
        <v>8.4094656909057335</v>
      </c>
      <c r="L6">
        <f t="shared" si="5"/>
        <v>4.7657392354488097</v>
      </c>
      <c r="M6">
        <f t="shared" si="3"/>
        <v>6.3496914244296887</v>
      </c>
      <c r="N6">
        <f t="shared" si="4"/>
        <v>11.115430659878498</v>
      </c>
    </row>
    <row r="7" spans="1:14" x14ac:dyDescent="0.25">
      <c r="A7" t="s">
        <v>29</v>
      </c>
      <c r="B7">
        <v>200</v>
      </c>
      <c r="C7">
        <f>AVERAGE(Подвыборки!V:V)</f>
        <v>8.0449999999999999</v>
      </c>
      <c r="D7">
        <f>MEDIAN(Подвыборки!X:X)</f>
        <v>8</v>
      </c>
      <c r="E7">
        <f>_xlfn.MODE.SNGL(Подвыборки!V:V)</f>
        <v>6</v>
      </c>
      <c r="F7">
        <f>_xlfn.VAR.S(Подвыборки!V:V)</f>
        <v>8.5859045226130615</v>
      </c>
      <c r="G7">
        <f t="shared" si="0"/>
        <v>2.9301714152269422</v>
      </c>
      <c r="H7">
        <f>_xlfn.STDEV.S(Подвыборки!V:V)/SQRT(Статистики!B7)</f>
        <v>0.20719440777459536</v>
      </c>
      <c r="I7">
        <f>_xlfn.CONFIDENCE.T(0.05,_xlfn.STDEV.S(Подвыборки!V:V),Статистики!B7)</f>
        <v>0.40857836834348005</v>
      </c>
      <c r="J7">
        <f t="shared" si="1"/>
        <v>7.6364216316565194</v>
      </c>
      <c r="K7">
        <f t="shared" si="2"/>
        <v>8.4535783683434804</v>
      </c>
      <c r="L7">
        <f t="shared" si="5"/>
        <v>3.4378691329766022</v>
      </c>
      <c r="M7">
        <f t="shared" si="3"/>
        <v>7.1203419965660375</v>
      </c>
      <c r="N7">
        <f t="shared" si="4"/>
        <v>10.55821112954264</v>
      </c>
    </row>
    <row r="8" spans="1:14" x14ac:dyDescent="0.25">
      <c r="I8" t="s">
        <v>22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Генеральная совокупность</vt:lpstr>
      <vt:lpstr>Подвыборки</vt:lpstr>
      <vt:lpstr>Статистики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Арсений Заварзин</cp:lastModifiedBy>
  <dcterms:created xsi:type="dcterms:W3CDTF">2026-09-22T07:43:03Z</dcterms:created>
  <dcterms:modified xsi:type="dcterms:W3CDTF">2026-09-23T11:06:54Z</dcterms:modified>
</cp:coreProperties>
</file>