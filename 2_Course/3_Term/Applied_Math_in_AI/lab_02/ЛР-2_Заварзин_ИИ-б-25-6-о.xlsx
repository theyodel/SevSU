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evSU\2_Course\3_Term\Applied_Math_in_AI\lab_02\"/>
    </mc:Choice>
  </mc:AlternateContent>
  <xr:revisionPtr revIDLastSave="0" documentId="13_ncr:1_{A533386C-82C1-4FDA-A2FF-1189896D90D0}" xr6:coauthVersionLast="47" xr6:coauthVersionMax="47" xr10:uidLastSave="{00000000-0000-0000-0000-000000000000}"/>
  <bookViews>
    <workbookView xWindow="0" yWindow="360" windowWidth="29040" windowHeight="17520" activeTab="2" xr2:uid="{931E60D5-182C-44A1-9286-B09176C93620}"/>
  </bookViews>
  <sheets>
    <sheet name="Анализ" sheetId="1" r:id="rId1"/>
    <sheet name="Квадратичная Аппроксимация" sheetId="2" r:id="rId2"/>
    <sheet name="Кубическая Аппроксимаци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" i="3" l="1"/>
  <c r="R3" i="3"/>
  <c r="Q4" i="3"/>
  <c r="R4" i="3"/>
  <c r="R2" i="3"/>
  <c r="Q2" i="3"/>
  <c r="D3" i="3"/>
  <c r="D4" i="3" s="1"/>
  <c r="J2" i="3"/>
  <c r="I2" i="3"/>
  <c r="H2" i="3"/>
  <c r="G2" i="3"/>
  <c r="N2" i="3" s="1"/>
  <c r="P2" i="3" s="1"/>
  <c r="E2" i="2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F2" i="2"/>
  <c r="I2" i="2" s="1"/>
  <c r="O2" i="2" s="1"/>
  <c r="H2" i="2"/>
  <c r="G2" i="2" s="1"/>
  <c r="J2" i="2" s="1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42" i="1"/>
  <c r="B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O2" i="3" l="1"/>
  <c r="K2" i="3" s="1"/>
  <c r="P2" i="2"/>
  <c r="M2" i="2" s="1"/>
  <c r="L2" i="2"/>
  <c r="M2" i="3" l="1"/>
  <c r="L2" i="3"/>
  <c r="E3" i="2"/>
  <c r="F3" i="2" s="1"/>
  <c r="N2" i="2"/>
  <c r="Q2" i="2" s="1"/>
  <c r="K2" i="2"/>
  <c r="R2" i="2" s="1"/>
  <c r="E3" i="3" l="1"/>
  <c r="H3" i="3"/>
  <c r="G3" i="3"/>
  <c r="J3" i="3"/>
  <c r="F3" i="3"/>
  <c r="I3" i="3"/>
  <c r="D3" i="2"/>
  <c r="H3" i="2"/>
  <c r="I3" i="2"/>
  <c r="O3" i="2" s="1"/>
  <c r="N3" i="3" l="1"/>
  <c r="P3" i="3" s="1"/>
  <c r="O3" i="3" s="1"/>
  <c r="K3" i="3" s="1"/>
  <c r="G3" i="2"/>
  <c r="G4" i="2" s="1"/>
  <c r="L3" i="3" l="1"/>
  <c r="M3" i="3"/>
  <c r="J4" i="2"/>
  <c r="J3" i="2"/>
  <c r="E4" i="3" l="1"/>
  <c r="J4" i="3"/>
  <c r="F4" i="3"/>
  <c r="H4" i="3"/>
  <c r="I4" i="3"/>
  <c r="G4" i="3"/>
  <c r="N4" i="3" s="1"/>
  <c r="L3" i="2"/>
  <c r="P3" i="2"/>
  <c r="M3" i="2" s="1"/>
  <c r="P4" i="3" l="1"/>
  <c r="O4" i="3" s="1"/>
  <c r="K4" i="3" s="1"/>
  <c r="F4" i="2"/>
  <c r="E4" i="2"/>
  <c r="H4" i="2" s="1"/>
  <c r="K3" i="2"/>
  <c r="R3" i="2" s="1"/>
  <c r="N3" i="2"/>
  <c r="Q3" i="2" s="1"/>
  <c r="L4" i="3" l="1"/>
  <c r="M4" i="3"/>
  <c r="P4" i="2"/>
  <c r="I4" i="2"/>
  <c r="D4" i="2"/>
  <c r="L4" i="2" l="1"/>
  <c r="O4" i="2"/>
  <c r="M4" i="2" s="1"/>
  <c r="N4" i="2" s="1"/>
  <c r="Q4" i="2" l="1"/>
  <c r="K4" i="2"/>
  <c r="R4" i="2" s="1"/>
</calcChain>
</file>

<file path=xl/sharedStrings.xml><?xml version="1.0" encoding="utf-8"?>
<sst xmlns="http://schemas.openxmlformats.org/spreadsheetml/2006/main" count="51" uniqueCount="28">
  <si>
    <t>x</t>
  </si>
  <si>
    <t>f(x)</t>
  </si>
  <si>
    <t>a</t>
  </si>
  <si>
    <t>b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</si>
  <si>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  <scheme val="minor"/>
      </rPr>
      <t>x</t>
    </r>
  </si>
  <si>
    <r>
      <rPr>
        <sz val="14"/>
        <color theme="1"/>
        <rFont val="Aptos Narrow"/>
        <family val="2"/>
      </rPr>
      <t>ε</t>
    </r>
    <r>
      <rPr>
        <sz val="8"/>
        <color theme="1"/>
        <rFont val="Aptos Narrow"/>
        <family val="2"/>
      </rPr>
      <t>1</t>
    </r>
  </si>
  <si>
    <r>
      <rPr>
        <sz val="14"/>
        <color theme="1"/>
        <rFont val="Aptos Narrow"/>
        <family val="2"/>
      </rPr>
      <t>ε</t>
    </r>
    <r>
      <rPr>
        <sz val="8"/>
        <color theme="1"/>
        <rFont val="Aptos Narrow"/>
        <family val="2"/>
      </rPr>
      <t>2</t>
    </r>
  </si>
  <si>
    <t>Итерация</t>
  </si>
  <si>
    <t>x1</t>
  </si>
  <si>
    <t>x2</t>
  </si>
  <si>
    <t>x3</t>
  </si>
  <si>
    <t>f(x1)</t>
  </si>
  <si>
    <t>f(x2)</t>
  </si>
  <si>
    <t>f(x3)</t>
  </si>
  <si>
    <t>x̄</t>
  </si>
  <si>
    <t>f(x̄)</t>
  </si>
  <si>
    <t>a1</t>
  </si>
  <si>
    <t>a2</t>
  </si>
  <si>
    <t>Условие 1</t>
  </si>
  <si>
    <t>Условие 2</t>
  </si>
  <si>
    <t>x_min</t>
  </si>
  <si>
    <t>f_min</t>
  </si>
  <si>
    <t>df(x1)</t>
  </si>
  <si>
    <t>df(x2)</t>
  </si>
  <si>
    <t>df(x̄)</t>
  </si>
  <si>
    <t>z</t>
  </si>
  <si>
    <t>μ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</si>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</sst>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</font>
    <font>
      <sz val="14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3" fillId="0" borderId="5" xfId="0" applyFont="1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6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Анализ!$B$1</c:f>
              <c:strCache>
                <c:ptCount val="1"/>
                <c:pt idx="0">
                  <c:v>f(x)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Анализ!$A$2:$A$42</c:f>
              <c:numCache>
                <c:formatCode>General</c:formatCode>
                <c:ptCount val="41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12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</c:numCache>
            </c:numRef>
          </c:cat>
          <c:val>
            <c:numRef>
              <c:f>Анализ!$B$2:$B$42</c:f>
              <c:numCache>
                <c:formatCode>General</c:formatCode>
                <c:ptCount val="41"/>
                <c:pt idx="0">
                  <c:v>95130</c:v>
                </c:pt>
                <c:pt idx="1">
                  <c:v>74741</c:v>
                </c:pt>
                <c:pt idx="2">
                  <c:v>57762</c:v>
                </c:pt>
                <c:pt idx="3">
                  <c:v>43797</c:v>
                </c:pt>
                <c:pt idx="4">
                  <c:v>32474</c:v>
                </c:pt>
                <c:pt idx="5">
                  <c:v>23445</c:v>
                </c:pt>
                <c:pt idx="6">
                  <c:v>16386</c:v>
                </c:pt>
                <c:pt idx="7">
                  <c:v>10997</c:v>
                </c:pt>
                <c:pt idx="8">
                  <c:v>7002</c:v>
                </c:pt>
                <c:pt idx="9">
                  <c:v>4149</c:v>
                </c:pt>
                <c:pt idx="10">
                  <c:v>2210</c:v>
                </c:pt>
                <c:pt idx="11">
                  <c:v>981</c:v>
                </c:pt>
                <c:pt idx="12">
                  <c:v>282</c:v>
                </c:pt>
                <c:pt idx="13">
                  <c:v>-43</c:v>
                </c:pt>
                <c:pt idx="14">
                  <c:v>-126</c:v>
                </c:pt>
                <c:pt idx="15">
                  <c:v>-75</c:v>
                </c:pt>
                <c:pt idx="16">
                  <c:v>26</c:v>
                </c:pt>
                <c:pt idx="17">
                  <c:v>117</c:v>
                </c:pt>
                <c:pt idx="18">
                  <c:v>162</c:v>
                </c:pt>
                <c:pt idx="19">
                  <c:v>149</c:v>
                </c:pt>
                <c:pt idx="20">
                  <c:v>90</c:v>
                </c:pt>
                <c:pt idx="21">
                  <c:v>21</c:v>
                </c:pt>
                <c:pt idx="22">
                  <c:v>2</c:v>
                </c:pt>
                <c:pt idx="23">
                  <c:v>117</c:v>
                </c:pt>
                <c:pt idx="24">
                  <c:v>474</c:v>
                </c:pt>
                <c:pt idx="25">
                  <c:v>1205</c:v>
                </c:pt>
                <c:pt idx="26">
                  <c:v>2466</c:v>
                </c:pt>
                <c:pt idx="27">
                  <c:v>4437</c:v>
                </c:pt>
                <c:pt idx="28">
                  <c:v>7322</c:v>
                </c:pt>
                <c:pt idx="29">
                  <c:v>11349</c:v>
                </c:pt>
                <c:pt idx="30">
                  <c:v>16770</c:v>
                </c:pt>
                <c:pt idx="31">
                  <c:v>23861</c:v>
                </c:pt>
                <c:pt idx="32">
                  <c:v>32922</c:v>
                </c:pt>
                <c:pt idx="33">
                  <c:v>44277</c:v>
                </c:pt>
                <c:pt idx="34">
                  <c:v>58274</c:v>
                </c:pt>
                <c:pt idx="35">
                  <c:v>75285</c:v>
                </c:pt>
                <c:pt idx="36">
                  <c:v>95706</c:v>
                </c:pt>
                <c:pt idx="37">
                  <c:v>119957</c:v>
                </c:pt>
                <c:pt idx="38">
                  <c:v>148482</c:v>
                </c:pt>
                <c:pt idx="39">
                  <c:v>181749</c:v>
                </c:pt>
                <c:pt idx="40">
                  <c:v>220250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7-4DC7-99D6-A534D7610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414320"/>
        <c:axId val="1552021840"/>
      </c:lineChart>
      <c:catAx>
        <c:axId val="179741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021840"/>
        <c:crosses val="autoZero"/>
        <c:auto val="1"/>
        <c:lblAlgn val="ctr"/>
        <c:lblOffset val="100"/>
        <c:noMultiLvlLbl val="0"/>
      </c:catAx>
      <c:valAx>
        <c:axId val="15520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741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0</xdr:row>
      <xdr:rowOff>26670</xdr:rowOff>
    </xdr:from>
    <xdr:to>
      <xdr:col>12</xdr:col>
      <xdr:colOff>518160</xdr:colOff>
      <xdr:row>20</xdr:row>
      <xdr:rowOff>182880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E96F4D8-7C9C-2DAA-BA04-48055C17B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51A1-8817-40C8-BAC9-67A47F940757}">
  <dimension ref="A1:E42"/>
  <sheetViews>
    <sheetView zoomScale="96" zoomScaleNormal="100" workbookViewId="0">
      <selection activeCell="P26" sqref="P2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-20</v>
      </c>
      <c r="B2">
        <f t="shared" ref="B2" si="0">POWER(A2,4)+8*POWER(A2,3)-6*POWER(A2,2)-72*A2+90</f>
        <v>95130</v>
      </c>
    </row>
    <row r="3" spans="1:2" x14ac:dyDescent="0.25">
      <c r="A3" s="2">
        <v>-19</v>
      </c>
      <c r="B3">
        <f t="shared" ref="B3:B41" si="1">POWER(A3,4)+8*POWER(A3,3)-6*POWER(A3,2)-72*A3+90</f>
        <v>74741</v>
      </c>
    </row>
    <row r="4" spans="1:2" x14ac:dyDescent="0.25">
      <c r="A4" s="2">
        <v>-18</v>
      </c>
      <c r="B4">
        <f t="shared" si="1"/>
        <v>57762</v>
      </c>
    </row>
    <row r="5" spans="1:2" x14ac:dyDescent="0.25">
      <c r="A5" s="2">
        <v>-17</v>
      </c>
      <c r="B5">
        <f t="shared" si="1"/>
        <v>43797</v>
      </c>
    </row>
    <row r="6" spans="1:2" x14ac:dyDescent="0.25">
      <c r="A6" s="2">
        <v>-16</v>
      </c>
      <c r="B6">
        <f t="shared" si="1"/>
        <v>32474</v>
      </c>
    </row>
    <row r="7" spans="1:2" x14ac:dyDescent="0.25">
      <c r="A7" s="2">
        <v>-15</v>
      </c>
      <c r="B7">
        <f t="shared" si="1"/>
        <v>23445</v>
      </c>
    </row>
    <row r="8" spans="1:2" x14ac:dyDescent="0.25">
      <c r="A8" s="2">
        <v>-14</v>
      </c>
      <c r="B8">
        <f t="shared" si="1"/>
        <v>16386</v>
      </c>
    </row>
    <row r="9" spans="1:2" x14ac:dyDescent="0.25">
      <c r="A9" s="2">
        <v>-13</v>
      </c>
      <c r="B9">
        <f t="shared" si="1"/>
        <v>10997</v>
      </c>
    </row>
    <row r="10" spans="1:2" x14ac:dyDescent="0.25">
      <c r="A10" s="2">
        <v>-12</v>
      </c>
      <c r="B10">
        <f t="shared" si="1"/>
        <v>7002</v>
      </c>
    </row>
    <row r="11" spans="1:2" x14ac:dyDescent="0.25">
      <c r="A11" s="2">
        <v>-11</v>
      </c>
      <c r="B11">
        <f t="shared" si="1"/>
        <v>4149</v>
      </c>
    </row>
    <row r="12" spans="1:2" x14ac:dyDescent="0.25">
      <c r="A12" s="2">
        <v>-10</v>
      </c>
      <c r="B12">
        <f t="shared" si="1"/>
        <v>2210</v>
      </c>
    </row>
    <row r="13" spans="1:2" x14ac:dyDescent="0.25">
      <c r="A13" s="2">
        <v>-9</v>
      </c>
      <c r="B13">
        <f t="shared" si="1"/>
        <v>981</v>
      </c>
    </row>
    <row r="14" spans="1:2" x14ac:dyDescent="0.25">
      <c r="A14" s="2">
        <v>-8</v>
      </c>
      <c r="B14">
        <f t="shared" si="1"/>
        <v>282</v>
      </c>
    </row>
    <row r="15" spans="1:2" x14ac:dyDescent="0.25">
      <c r="A15" s="2">
        <v>-7</v>
      </c>
      <c r="B15">
        <f t="shared" si="1"/>
        <v>-43</v>
      </c>
    </row>
    <row r="16" spans="1:2" x14ac:dyDescent="0.25">
      <c r="A16" s="2">
        <v>-6</v>
      </c>
      <c r="B16">
        <f t="shared" si="1"/>
        <v>-126</v>
      </c>
    </row>
    <row r="17" spans="1:5" x14ac:dyDescent="0.25">
      <c r="A17" s="2">
        <v>-5</v>
      </c>
      <c r="B17">
        <f>POWER(A17,4)+8*POWER(A17,3)-6*POWER(A17,2)-72*A17+90</f>
        <v>-75</v>
      </c>
    </row>
    <row r="18" spans="1:5" x14ac:dyDescent="0.25">
      <c r="A18" s="2">
        <v>-4</v>
      </c>
      <c r="B18">
        <f t="shared" si="1"/>
        <v>26</v>
      </c>
    </row>
    <row r="19" spans="1:5" x14ac:dyDescent="0.25">
      <c r="A19" s="2">
        <v>-3</v>
      </c>
      <c r="B19">
        <f t="shared" si="1"/>
        <v>117</v>
      </c>
    </row>
    <row r="20" spans="1:5" x14ac:dyDescent="0.25">
      <c r="A20" s="2">
        <v>-2</v>
      </c>
      <c r="B20">
        <f t="shared" si="1"/>
        <v>162</v>
      </c>
    </row>
    <row r="21" spans="1:5" x14ac:dyDescent="0.25">
      <c r="A21" s="2">
        <v>-1</v>
      </c>
      <c r="B21">
        <f t="shared" si="1"/>
        <v>149</v>
      </c>
    </row>
    <row r="22" spans="1:5" ht="15.75" thickBot="1" x14ac:dyDescent="0.3">
      <c r="A22" s="2">
        <v>0</v>
      </c>
      <c r="B22">
        <f t="shared" si="1"/>
        <v>90</v>
      </c>
    </row>
    <row r="23" spans="1:5" x14ac:dyDescent="0.25">
      <c r="A23" s="2">
        <v>1</v>
      </c>
      <c r="B23">
        <f t="shared" si="1"/>
        <v>21</v>
      </c>
      <c r="D23" s="3" t="s">
        <v>2</v>
      </c>
      <c r="E23" s="4">
        <v>-10</v>
      </c>
    </row>
    <row r="24" spans="1:5" x14ac:dyDescent="0.25">
      <c r="A24" s="2">
        <v>2</v>
      </c>
      <c r="B24">
        <f t="shared" si="1"/>
        <v>2</v>
      </c>
      <c r="D24" s="5" t="s">
        <v>3</v>
      </c>
      <c r="E24" s="6">
        <v>6</v>
      </c>
    </row>
    <row r="25" spans="1:5" ht="18.75" x14ac:dyDescent="0.3">
      <c r="A25" s="2">
        <v>3</v>
      </c>
      <c r="B25">
        <f t="shared" si="1"/>
        <v>117</v>
      </c>
      <c r="D25" s="7" t="s">
        <v>5</v>
      </c>
      <c r="E25" s="6">
        <v>2.9999999999999997E-4</v>
      </c>
    </row>
    <row r="26" spans="1:5" ht="18.75" x14ac:dyDescent="0.3">
      <c r="A26" s="2">
        <v>4</v>
      </c>
      <c r="B26">
        <f t="shared" si="1"/>
        <v>474</v>
      </c>
      <c r="D26" s="7" t="s">
        <v>6</v>
      </c>
      <c r="E26" s="6">
        <v>3.0000000000000001E-3</v>
      </c>
    </row>
    <row r="27" spans="1:5" ht="15.75" thickBot="1" x14ac:dyDescent="0.3">
      <c r="A27" s="2">
        <v>5</v>
      </c>
      <c r="B27">
        <f t="shared" si="1"/>
        <v>1205</v>
      </c>
      <c r="D27" s="8" t="s">
        <v>4</v>
      </c>
      <c r="E27" s="9">
        <v>1</v>
      </c>
    </row>
    <row r="28" spans="1:5" x14ac:dyDescent="0.25">
      <c r="A28" s="2">
        <v>6</v>
      </c>
      <c r="B28">
        <f t="shared" si="1"/>
        <v>2466</v>
      </c>
    </row>
    <row r="29" spans="1:5" x14ac:dyDescent="0.25">
      <c r="A29" s="2">
        <v>7</v>
      </c>
      <c r="B29">
        <f t="shared" si="1"/>
        <v>4437</v>
      </c>
    </row>
    <row r="30" spans="1:5" x14ac:dyDescent="0.25">
      <c r="A30" s="2">
        <v>8</v>
      </c>
      <c r="B30">
        <f t="shared" si="1"/>
        <v>7322</v>
      </c>
    </row>
    <row r="31" spans="1:5" x14ac:dyDescent="0.25">
      <c r="A31" s="2">
        <v>9</v>
      </c>
      <c r="B31">
        <f t="shared" si="1"/>
        <v>11349</v>
      </c>
    </row>
    <row r="32" spans="1:5" x14ac:dyDescent="0.25">
      <c r="A32" s="2">
        <v>10</v>
      </c>
      <c r="B32">
        <f t="shared" si="1"/>
        <v>16770</v>
      </c>
    </row>
    <row r="33" spans="1:2" x14ac:dyDescent="0.25">
      <c r="A33" s="2">
        <v>11</v>
      </c>
      <c r="B33">
        <f t="shared" si="1"/>
        <v>23861</v>
      </c>
    </row>
    <row r="34" spans="1:2" x14ac:dyDescent="0.25">
      <c r="A34" s="2">
        <v>12</v>
      </c>
      <c r="B34">
        <f t="shared" si="1"/>
        <v>32922</v>
      </c>
    </row>
    <row r="35" spans="1:2" x14ac:dyDescent="0.25">
      <c r="A35" s="2">
        <v>13</v>
      </c>
      <c r="B35">
        <f t="shared" si="1"/>
        <v>44277</v>
      </c>
    </row>
    <row r="36" spans="1:2" x14ac:dyDescent="0.25">
      <c r="A36" s="2">
        <v>14</v>
      </c>
      <c r="B36">
        <f t="shared" si="1"/>
        <v>58274</v>
      </c>
    </row>
    <row r="37" spans="1:2" x14ac:dyDescent="0.25">
      <c r="A37" s="2">
        <v>15</v>
      </c>
      <c r="B37">
        <f t="shared" si="1"/>
        <v>75285</v>
      </c>
    </row>
    <row r="38" spans="1:2" x14ac:dyDescent="0.25">
      <c r="A38" s="2">
        <v>16</v>
      </c>
      <c r="B38">
        <f t="shared" si="1"/>
        <v>95706</v>
      </c>
    </row>
    <row r="39" spans="1:2" x14ac:dyDescent="0.25">
      <c r="A39" s="2">
        <v>17</v>
      </c>
      <c r="B39">
        <f t="shared" si="1"/>
        <v>119957</v>
      </c>
    </row>
    <row r="40" spans="1:2" x14ac:dyDescent="0.25">
      <c r="A40" s="2">
        <v>18</v>
      </c>
      <c r="B40">
        <f t="shared" si="1"/>
        <v>148482</v>
      </c>
    </row>
    <row r="41" spans="1:2" x14ac:dyDescent="0.25">
      <c r="A41" s="2">
        <v>19</v>
      </c>
      <c r="B41">
        <f t="shared" si="1"/>
        <v>181749</v>
      </c>
    </row>
    <row r="42" spans="1:2" x14ac:dyDescent="0.25">
      <c r="A42" s="2">
        <v>20</v>
      </c>
      <c r="B42">
        <f t="shared" ref="B42" si="2">POWER(A42,4)+8*POWER(A42,3)-6*POWER(A42,2)-72*A42+90</f>
        <v>220250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3A5-1DA9-4CC5-BEEA-A8D3921693DC}">
  <dimension ref="A1:R20"/>
  <sheetViews>
    <sheetView zoomScale="136" workbookViewId="0">
      <selection activeCell="H9" sqref="H9"/>
    </sheetView>
  </sheetViews>
  <sheetFormatPr defaultRowHeight="15" x14ac:dyDescent="0.25"/>
  <cols>
    <col min="4" max="4" width="10.28515625" customWidth="1"/>
    <col min="15" max="15" width="11" customWidth="1"/>
    <col min="16" max="16" width="11.140625" customWidth="1"/>
    <col min="17" max="18" width="10.7109375" customWidth="1"/>
  </cols>
  <sheetData>
    <row r="1" spans="1:18" x14ac:dyDescent="0.25">
      <c r="A1" s="2" t="s">
        <v>0</v>
      </c>
      <c r="B1" s="2" t="s">
        <v>1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20</v>
      </c>
      <c r="L1" s="10" t="s">
        <v>21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</row>
    <row r="2" spans="1:18" x14ac:dyDescent="0.25">
      <c r="A2" s="2">
        <v>-10</v>
      </c>
      <c r="B2">
        <f t="shared" ref="B2:B20" si="0">POWER(A2,4)+8*POWER(A2,3)-6*POWER(A2,2)-72*A2+90</f>
        <v>2210</v>
      </c>
      <c r="D2" s="11">
        <v>1</v>
      </c>
      <c r="E2" s="11">
        <f>E6</f>
        <v>-10</v>
      </c>
      <c r="F2" s="11">
        <f>E2+E10</f>
        <v>-9</v>
      </c>
      <c r="G2" s="11">
        <f>IF(H2&gt;I2,E2+(2*$E$10),E2-$E$10)</f>
        <v>-8</v>
      </c>
      <c r="H2" s="11">
        <f>POWER(E2,4)+8*POWER(E2,3)-6*POWER(E2,2)-72*E2+90</f>
        <v>2210</v>
      </c>
      <c r="I2" s="11">
        <f>POWER(F2,4)+8*POWER(F2,3)-6*POWER(F2,2)-72*F2+90</f>
        <v>981</v>
      </c>
      <c r="J2" s="11">
        <f>POWER(G2,4)+8*POWER(G2,3)-6*POWER(G2,2)-72*G2+90</f>
        <v>282</v>
      </c>
      <c r="K2" s="11">
        <f>IF(H2=L2,E2,IF(I2=L2,F2,G2))</f>
        <v>-8</v>
      </c>
      <c r="L2" s="11">
        <f>MIN(H2:J2)</f>
        <v>282</v>
      </c>
      <c r="M2" s="11">
        <f>0.5*(F2+E2)-(O2/(2*P2))</f>
        <v>-7.1811320754716981</v>
      </c>
      <c r="N2" s="11">
        <f>POWER(M2,4)+8*POWER(M2,3)-6*POWER(M2,2)-72*M2+90</f>
        <v>-5.614707617241379</v>
      </c>
      <c r="O2" s="11">
        <f>(I2-H2)/(F2-E2)</f>
        <v>-1229</v>
      </c>
      <c r="P2" s="11">
        <f>(1/(G2-F2))*(((J2-H2)/(G2-E2))-((I2-H2)/(F2-E2)))</f>
        <v>265</v>
      </c>
      <c r="Q2" s="11">
        <f>IF(ABS((L2-N2)/N2)&lt;$E$8,1,0)</f>
        <v>0</v>
      </c>
      <c r="R2" s="11">
        <f>IF(ABS((K2-M2)/M2)&lt;$E$9,1,0)</f>
        <v>0</v>
      </c>
    </row>
    <row r="3" spans="1:18" x14ac:dyDescent="0.25">
      <c r="A3" s="2">
        <v>-9</v>
      </c>
      <c r="B3">
        <f t="shared" si="0"/>
        <v>981</v>
      </c>
      <c r="D3" s="11">
        <f>IF(SUM(Q2:R2)=0,D2+1,"Конец")</f>
        <v>2</v>
      </c>
      <c r="E3" s="11">
        <f>IF(AND(E2&lt;M2,M2&lt;G2),K2,M2)</f>
        <v>-7.1811320754716981</v>
      </c>
      <c r="F3" s="11">
        <f>IF(AND(E2&lt;M2,M2&lt;G2),F2,E3+$E$10)</f>
        <v>-6.1811320754716981</v>
      </c>
      <c r="G3" s="11">
        <f>IF(H3&gt;I3,E3+(2*$E$10),E3-$E$10)</f>
        <v>-5.1811320754716981</v>
      </c>
      <c r="H3" s="11">
        <f>POWER(E3,4)+8*POWER(E3,3)-6*POWER(E3,2)-72*E3+90</f>
        <v>-5.614707617241379</v>
      </c>
      <c r="I3" s="11">
        <f>POWER(F3,4)+8*POWER(F3,3)-6*POWER(F3,2)-72*F3+90</f>
        <v>-123.73845718231871</v>
      </c>
      <c r="J3" s="11">
        <f>POWER(G3,4)+8*POWER(G3,3)-6*POWER(G3,2)-72*G3+90</f>
        <v>-90.079821556936736</v>
      </c>
      <c r="K3" s="11">
        <f>IF(H3=L3,E3,IF(I3=L3,F3,G3))</f>
        <v>-6.1811320754716981</v>
      </c>
      <c r="L3" s="11">
        <f>MIN(H3:J3)</f>
        <v>-123.73845718231871</v>
      </c>
      <c r="M3" s="11">
        <f>0.5*(F3+E3)-(O3/(2*P3))</f>
        <v>-5.902887950391877</v>
      </c>
      <c r="N3" s="11">
        <f>POWER(M3,4)+8*POWER(M3,3)-6*POWER(M3,2)-72*M3+90</f>
        <v>-125.39213498079897</v>
      </c>
      <c r="O3" s="11">
        <f>(I3-H3)/(F3-E3)</f>
        <v>-118.12374956507733</v>
      </c>
      <c r="P3" s="11">
        <f>(1/(G3-F3))*(((J3-H3)/(G3-E3))-((I3-H3)/(F3-E3)))</f>
        <v>75.891192595229654</v>
      </c>
      <c r="Q3" s="11">
        <f>IF(ABS((L3-N3)/N3)&lt;$E$8,1,0)</f>
        <v>0</v>
      </c>
      <c r="R3" s="11">
        <f>IF(ABS((K3-M3)/M3)&lt;$E$9,1,0)</f>
        <v>0</v>
      </c>
    </row>
    <row r="4" spans="1:18" x14ac:dyDescent="0.25">
      <c r="A4" s="2">
        <v>-8</v>
      </c>
      <c r="B4">
        <f t="shared" si="0"/>
        <v>282</v>
      </c>
      <c r="D4" s="11">
        <f>IF(SUM(Q3:R3)=0,D3+1,"Конец")</f>
        <v>3</v>
      </c>
      <c r="E4" s="11">
        <f>IF(AND(E3&lt;M3,M3&lt;G3),K3,M3)</f>
        <v>-6.1811320754716981</v>
      </c>
      <c r="F4" s="11">
        <f>M3</f>
        <v>-5.902887950391877</v>
      </c>
      <c r="G4" s="11">
        <f>G3</f>
        <v>-5.1811320754716981</v>
      </c>
      <c r="H4" s="11">
        <f>POWER(E4,4)+8*POWER(E4,3)-6*POWER(E4,2)-72*E4+90</f>
        <v>-123.73845718231871</v>
      </c>
      <c r="I4" s="11">
        <f>POWER(F4,4)+8*POWER(F4,3)-6*POWER(F4,2)-72*F4+90</f>
        <v>-125.39213498079897</v>
      </c>
      <c r="J4" s="11">
        <f>POWER(G4,4)+8*POWER(G4,3)-6*POWER(G4,2)-72*G4+90</f>
        <v>-90.079821556936736</v>
      </c>
      <c r="K4" s="11">
        <f>IF(H4=L4,E4,IF(I4=L4,F4,G4))</f>
        <v>-5.902887950391877</v>
      </c>
      <c r="L4" s="11">
        <f>MIN(H4:J4)</f>
        <v>-125.39213498079897</v>
      </c>
      <c r="M4" s="11">
        <f>0.5*(F4+E4)-(O4/(2*P4))</f>
        <v>-5.9878511889716677</v>
      </c>
      <c r="N4" s="11">
        <f>POWER(M4,4)+8*POWER(M4,3)-6*POWER(M4,2)-72*M4+90</f>
        <v>-125.99028748938571</v>
      </c>
      <c r="O4" s="11">
        <f>(I4-H4)/(F4-E4)</f>
        <v>-5.9432622270312514</v>
      </c>
      <c r="P4" s="11">
        <f>(1/(G4-F4))*(((J4-H4)/(G4-E4))-((I4-H4)/(F4-E4)))</f>
        <v>54.86882646683398</v>
      </c>
      <c r="Q4" s="11">
        <f>IF(ABS((L4-N4)/N4)&lt;$E$8,1,0)</f>
        <v>0</v>
      </c>
      <c r="R4" s="11">
        <f>IF(ABS((K4-M4)/M4)&lt;$E$9,1,0)</f>
        <v>0</v>
      </c>
    </row>
    <row r="5" spans="1:18" ht="15.75" thickBot="1" x14ac:dyDescent="0.3">
      <c r="A5" s="2">
        <v>-7</v>
      </c>
      <c r="B5">
        <f t="shared" si="0"/>
        <v>-43</v>
      </c>
    </row>
    <row r="6" spans="1:18" x14ac:dyDescent="0.25">
      <c r="A6" s="2">
        <v>-6</v>
      </c>
      <c r="B6">
        <f t="shared" si="0"/>
        <v>-126</v>
      </c>
      <c r="D6" s="3" t="s">
        <v>2</v>
      </c>
      <c r="E6" s="4">
        <v>-10</v>
      </c>
    </row>
    <row r="7" spans="1:18" x14ac:dyDescent="0.25">
      <c r="A7" s="2">
        <v>-5</v>
      </c>
      <c r="B7">
        <f>POWER(A7,4)+8*POWER(A7,3)-6*POWER(A7,2)-72*A7+90</f>
        <v>-75</v>
      </c>
      <c r="D7" s="5" t="s">
        <v>3</v>
      </c>
      <c r="E7" s="6">
        <v>6</v>
      </c>
    </row>
    <row r="8" spans="1:18" ht="18.75" x14ac:dyDescent="0.3">
      <c r="A8" s="2">
        <v>-4</v>
      </c>
      <c r="B8">
        <f t="shared" si="0"/>
        <v>26</v>
      </c>
      <c r="D8" s="7" t="s">
        <v>5</v>
      </c>
      <c r="E8" s="6">
        <v>2.9999999999999997E-4</v>
      </c>
    </row>
    <row r="9" spans="1:18" ht="18.75" x14ac:dyDescent="0.3">
      <c r="A9" s="2">
        <v>-3</v>
      </c>
      <c r="B9">
        <f t="shared" si="0"/>
        <v>117</v>
      </c>
      <c r="D9" s="7" t="s">
        <v>6</v>
      </c>
      <c r="E9" s="6">
        <v>3.0000000000000001E-3</v>
      </c>
    </row>
    <row r="10" spans="1:18" ht="15.75" thickBot="1" x14ac:dyDescent="0.3">
      <c r="A10" s="2">
        <v>-2</v>
      </c>
      <c r="B10">
        <f t="shared" si="0"/>
        <v>162</v>
      </c>
      <c r="D10" s="8" t="s">
        <v>4</v>
      </c>
      <c r="E10" s="9">
        <v>1</v>
      </c>
    </row>
    <row r="11" spans="1:18" x14ac:dyDescent="0.25">
      <c r="A11" s="2">
        <v>-1</v>
      </c>
      <c r="B11">
        <f t="shared" si="0"/>
        <v>149</v>
      </c>
    </row>
    <row r="12" spans="1:18" x14ac:dyDescent="0.25">
      <c r="A12" s="2">
        <v>0</v>
      </c>
      <c r="B12">
        <f t="shared" si="0"/>
        <v>90</v>
      </c>
    </row>
    <row r="13" spans="1:18" x14ac:dyDescent="0.25">
      <c r="A13" s="2">
        <v>1</v>
      </c>
      <c r="B13">
        <f t="shared" si="0"/>
        <v>21</v>
      </c>
    </row>
    <row r="14" spans="1:18" x14ac:dyDescent="0.25">
      <c r="A14" s="2">
        <v>2</v>
      </c>
      <c r="B14">
        <f t="shared" si="0"/>
        <v>2</v>
      </c>
    </row>
    <row r="15" spans="1:18" x14ac:dyDescent="0.25">
      <c r="A15" s="2">
        <v>3</v>
      </c>
      <c r="B15">
        <f t="shared" si="0"/>
        <v>117</v>
      </c>
    </row>
    <row r="16" spans="1:18" x14ac:dyDescent="0.25">
      <c r="A16" s="2">
        <v>4</v>
      </c>
      <c r="B16">
        <f t="shared" si="0"/>
        <v>474</v>
      </c>
    </row>
    <row r="17" spans="1:2" x14ac:dyDescent="0.25">
      <c r="A17" s="2">
        <v>5</v>
      </c>
      <c r="B17">
        <f t="shared" si="0"/>
        <v>1205</v>
      </c>
    </row>
    <row r="18" spans="1:2" x14ac:dyDescent="0.25">
      <c r="A18" s="2">
        <v>6</v>
      </c>
      <c r="B18">
        <f t="shared" si="0"/>
        <v>2466</v>
      </c>
    </row>
    <row r="19" spans="1:2" x14ac:dyDescent="0.25">
      <c r="A19" s="2"/>
    </row>
    <row r="20" spans="1:2" x14ac:dyDescent="0.25">
      <c r="A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EE95-5511-4B98-A440-BAC189BE80C3}">
  <dimension ref="A1:R20"/>
  <sheetViews>
    <sheetView tabSelected="1" topLeftCell="C1" zoomScale="173" workbookViewId="0">
      <selection activeCell="I10" sqref="I10"/>
    </sheetView>
  </sheetViews>
  <sheetFormatPr defaultRowHeight="15" x14ac:dyDescent="0.25"/>
  <cols>
    <col min="4" max="4" width="10" customWidth="1"/>
    <col min="5" max="12" width="9.28515625" bestFit="1" customWidth="1"/>
    <col min="13" max="13" width="12.7109375" bestFit="1" customWidth="1"/>
    <col min="14" max="16" width="9.28515625" bestFit="1" customWidth="1"/>
    <col min="17" max="18" width="10.7109375" customWidth="1"/>
  </cols>
  <sheetData>
    <row r="1" spans="1:18" x14ac:dyDescent="0.25">
      <c r="A1" s="2" t="s">
        <v>0</v>
      </c>
      <c r="B1" s="2" t="s">
        <v>1</v>
      </c>
      <c r="D1" s="10" t="s">
        <v>7</v>
      </c>
      <c r="E1" s="10" t="s">
        <v>8</v>
      </c>
      <c r="F1" s="10" t="s">
        <v>9</v>
      </c>
      <c r="G1" s="10" t="s">
        <v>11</v>
      </c>
      <c r="H1" s="10" t="s">
        <v>12</v>
      </c>
      <c r="I1" s="10" t="s">
        <v>22</v>
      </c>
      <c r="J1" s="10" t="s">
        <v>23</v>
      </c>
      <c r="K1" s="10" t="s">
        <v>14</v>
      </c>
      <c r="L1" s="10" t="s">
        <v>15</v>
      </c>
      <c r="M1" s="10" t="s">
        <v>24</v>
      </c>
      <c r="N1" s="10" t="s">
        <v>25</v>
      </c>
      <c r="O1" s="12" t="s">
        <v>26</v>
      </c>
      <c r="P1" s="12" t="s">
        <v>27</v>
      </c>
      <c r="Q1" s="10" t="s">
        <v>18</v>
      </c>
      <c r="R1" s="10" t="s">
        <v>19</v>
      </c>
    </row>
    <row r="2" spans="1:18" x14ac:dyDescent="0.25">
      <c r="A2" s="2">
        <v>-10</v>
      </c>
      <c r="B2">
        <f t="shared" ref="B2:B20" si="0">POWER(A2,4)+8*POWER(A2,3)-6*POWER(A2,2)-72*A2+90</f>
        <v>2210</v>
      </c>
      <c r="D2" s="11">
        <v>1</v>
      </c>
      <c r="E2" s="11">
        <v>-7</v>
      </c>
      <c r="F2" s="11">
        <v>-3</v>
      </c>
      <c r="G2" s="11">
        <f>POWER(E2,4)+8*POWER(E2,3)-6*POWER(E2,2)-72*E2+90</f>
        <v>-43</v>
      </c>
      <c r="H2" s="11">
        <f>POWER(F2,4)+8*POWER(F2,3)-6*POWER(F2,2)-72*F2+90</f>
        <v>117</v>
      </c>
      <c r="I2" s="11">
        <f>4*POWER(E2,3)+24*POWER(E2,2)-12*E2-72</f>
        <v>-184</v>
      </c>
      <c r="J2" s="11">
        <f>4*POWER(F2,3)+24*POWER(F2,2)-12*F2-72</f>
        <v>72</v>
      </c>
      <c r="K2" s="11">
        <f>IF(O2&lt;0,F2,IF(O2&gt;1,E2,F2-O2*(F2-E2)))</f>
        <v>-5.9096015618042941</v>
      </c>
      <c r="L2" s="11">
        <f>POWER(K2,4)+8*POWER(K2,3)-6*POWER(K2,2)-72*K2+90</f>
        <v>-125.47240889654881</v>
      </c>
      <c r="M2" s="11">
        <f>4*POWER(K2,3)+24*POWER(K2,2)-12*K2-72</f>
        <v>11.543298615577328</v>
      </c>
      <c r="N2" s="11">
        <f>3*(G2-H2)/(F2-E2)+I2+J2</f>
        <v>-232</v>
      </c>
      <c r="O2" s="11">
        <f>(J2+P2-N2)/(J2-I2+2*P2)</f>
        <v>0.72740039045107352</v>
      </c>
      <c r="P2" s="11">
        <f>IF(E2&lt;F2,SQRT(N2^2-I2*J2),-SQRT(N2^2-I2*J2))</f>
        <v>258.98262489981835</v>
      </c>
      <c r="Q2" s="11">
        <f>IF(ABS(M2)&lt;=$E$8,1,0)</f>
        <v>0</v>
      </c>
      <c r="R2" s="11">
        <f>IF(ABS((K2-E2)/K2)&lt;=$E$9,1,0)</f>
        <v>0</v>
      </c>
    </row>
    <row r="3" spans="1:18" x14ac:dyDescent="0.25">
      <c r="A3" s="2">
        <v>-9</v>
      </c>
      <c r="B3">
        <f t="shared" si="0"/>
        <v>981</v>
      </c>
      <c r="D3" s="11">
        <f>D2+1</f>
        <v>2</v>
      </c>
      <c r="E3" s="11">
        <f>IF(M2&lt;0,K2,E2)</f>
        <v>-7</v>
      </c>
      <c r="F3" s="11">
        <f>IF(M2&lt;0,F2,K2)</f>
        <v>-5.9096015618042941</v>
      </c>
      <c r="G3" s="11">
        <f>IF(M2&lt;0,L2,G2)</f>
        <v>-43</v>
      </c>
      <c r="H3" s="11">
        <f>IF(M2&lt;0,H2,L2)</f>
        <v>-125.47240889654881</v>
      </c>
      <c r="I3" s="11">
        <f>IF(M2&lt;0,M2,I2)</f>
        <v>-184</v>
      </c>
      <c r="J3" s="11">
        <f>IF(M2&lt;0,J2,M2)</f>
        <v>11.543298615577328</v>
      </c>
      <c r="K3" s="11">
        <f>IF(O3&lt;0,F3,IF(O3&gt;1,E3,F3-O3*(F3-E3)))</f>
        <v>-6.0012575361679943</v>
      </c>
      <c r="L3" s="11">
        <f>POWER(K3,4)+8*POWER(K3,3)-6*POWER(K3,2)-72*K3+90</f>
        <v>-125.9998955959627</v>
      </c>
      <c r="M3" s="11">
        <f>4*POWER(K3,3)+24*POWER(K3,2)-12*K3-72</f>
        <v>-0.16607068919613255</v>
      </c>
      <c r="N3" s="11">
        <f>3*(G3-H3)/(F3-E3)+I3+J3</f>
        <v>54.448637088961789</v>
      </c>
      <c r="O3" s="11">
        <f>(J3+P3-N3)/(J3-I3+2*P3)</f>
        <v>8.4057323592066593E-2</v>
      </c>
      <c r="P3" s="11">
        <f>IF(E3&lt;F3,SQRT(N3^2-I3*J3),-SQRT(N3^2-I3*J3))</f>
        <v>71.33457104456221</v>
      </c>
      <c r="Q3" s="11">
        <f t="shared" ref="Q3:Q4" si="1">IF(ABS(M3)&lt;=$E$8,1,0)</f>
        <v>0</v>
      </c>
      <c r="R3" s="11">
        <f t="shared" ref="R3:R4" si="2">IF(ABS((K3-E3)/K3)&lt;=$E$9,1,0)</f>
        <v>0</v>
      </c>
    </row>
    <row r="4" spans="1:18" x14ac:dyDescent="0.25">
      <c r="A4" s="2">
        <v>-8</v>
      </c>
      <c r="B4">
        <f t="shared" si="0"/>
        <v>282</v>
      </c>
      <c r="D4" s="11">
        <f>D3+1</f>
        <v>3</v>
      </c>
      <c r="E4" s="11">
        <f>IF(M3&lt;0,K3,E3)</f>
        <v>-6.0012575361679943</v>
      </c>
      <c r="F4" s="11">
        <f>IF(M3&lt;0,F3,K3)</f>
        <v>-5.9096015618042941</v>
      </c>
      <c r="G4" s="11">
        <f>IF(M3&lt;0,L3,G3)</f>
        <v>-125.9998955959627</v>
      </c>
      <c r="H4" s="11">
        <f>IF(M3&lt;0,H3,L3)</f>
        <v>-125.47240889654881</v>
      </c>
      <c r="I4" s="11">
        <f>IF(M3&lt;0,M3,I3)</f>
        <v>-0.16607068919613255</v>
      </c>
      <c r="J4" s="11">
        <f>IF(M3&lt;0,J3,M3)</f>
        <v>11.543298615577328</v>
      </c>
      <c r="K4" s="11">
        <f>IF(O4&lt;0,F4,IF(O4&gt;1,E4,F4-O4*(F4-E4)))</f>
        <v>-5.9999998464445206</v>
      </c>
      <c r="L4" s="11">
        <f>POWER(K4,4)+8*POWER(K4,3)-6*POWER(K4,2)-72*K4+90</f>
        <v>-125.99999999999852</v>
      </c>
      <c r="M4" s="11">
        <f>4*POWER(K4,3)+24*POWER(K4,2)-12*K4-72</f>
        <v>2.0269322206445395E-5</v>
      </c>
      <c r="N4" s="11">
        <f>3*(G4-H4)/(F4-E4)+I4+J4</f>
        <v>-5.887987017080011</v>
      </c>
      <c r="O4" s="11">
        <f>(J4+P4-N4)/(J4-I4+2*P4)</f>
        <v>0.98627814790901136</v>
      </c>
      <c r="P4" s="11">
        <f>IF(E4&lt;F4,SQRT(N4^2-I4*J4),-SQRT(N4^2-I4*J4))</f>
        <v>6.048586171163346</v>
      </c>
      <c r="Q4" s="11">
        <f t="shared" si="1"/>
        <v>1</v>
      </c>
      <c r="R4" s="11">
        <f t="shared" si="2"/>
        <v>1</v>
      </c>
    </row>
    <row r="5" spans="1:18" ht="15.75" thickBot="1" x14ac:dyDescent="0.3">
      <c r="A5" s="2">
        <v>-7</v>
      </c>
      <c r="B5">
        <f t="shared" si="0"/>
        <v>-43</v>
      </c>
    </row>
    <row r="6" spans="1:18" x14ac:dyDescent="0.25">
      <c r="A6" s="2">
        <v>-6</v>
      </c>
      <c r="B6">
        <f t="shared" si="0"/>
        <v>-126</v>
      </c>
      <c r="D6" s="3" t="s">
        <v>2</v>
      </c>
      <c r="E6" s="4">
        <v>-10</v>
      </c>
    </row>
    <row r="7" spans="1:18" x14ac:dyDescent="0.25">
      <c r="A7" s="2">
        <v>-5</v>
      </c>
      <c r="B7">
        <f>POWER(A7,4)+8*POWER(A7,3)-6*POWER(A7,2)-72*A7+90</f>
        <v>-75</v>
      </c>
      <c r="D7" s="5" t="s">
        <v>3</v>
      </c>
      <c r="E7" s="6">
        <v>6</v>
      </c>
    </row>
    <row r="8" spans="1:18" ht="18.75" x14ac:dyDescent="0.3">
      <c r="A8" s="2">
        <v>-4</v>
      </c>
      <c r="B8">
        <f t="shared" si="0"/>
        <v>26</v>
      </c>
      <c r="D8" s="7" t="s">
        <v>5</v>
      </c>
      <c r="E8" s="6">
        <v>2.9999999999999997E-4</v>
      </c>
    </row>
    <row r="9" spans="1:18" ht="18.75" x14ac:dyDescent="0.3">
      <c r="A9" s="2">
        <v>-3</v>
      </c>
      <c r="B9">
        <f t="shared" si="0"/>
        <v>117</v>
      </c>
      <c r="D9" s="7" t="s">
        <v>6</v>
      </c>
      <c r="E9" s="6">
        <v>3.0000000000000001E-3</v>
      </c>
    </row>
    <row r="10" spans="1:18" ht="15.75" thickBot="1" x14ac:dyDescent="0.3">
      <c r="A10" s="2">
        <v>-2</v>
      </c>
      <c r="B10">
        <f t="shared" si="0"/>
        <v>162</v>
      </c>
      <c r="D10" s="8" t="s">
        <v>4</v>
      </c>
      <c r="E10" s="9">
        <v>1</v>
      </c>
    </row>
    <row r="11" spans="1:18" x14ac:dyDescent="0.25">
      <c r="A11" s="2">
        <v>-1</v>
      </c>
      <c r="B11">
        <f t="shared" si="0"/>
        <v>149</v>
      </c>
    </row>
    <row r="12" spans="1:18" x14ac:dyDescent="0.25">
      <c r="A12" s="2">
        <v>0</v>
      </c>
      <c r="B12">
        <f t="shared" si="0"/>
        <v>90</v>
      </c>
    </row>
    <row r="13" spans="1:18" x14ac:dyDescent="0.25">
      <c r="A13" s="2">
        <v>1</v>
      </c>
      <c r="B13">
        <f t="shared" si="0"/>
        <v>21</v>
      </c>
    </row>
    <row r="14" spans="1:18" x14ac:dyDescent="0.25">
      <c r="A14" s="2">
        <v>2</v>
      </c>
      <c r="B14">
        <f t="shared" si="0"/>
        <v>2</v>
      </c>
    </row>
    <row r="15" spans="1:18" x14ac:dyDescent="0.25">
      <c r="A15" s="2">
        <v>3</v>
      </c>
      <c r="B15">
        <f t="shared" si="0"/>
        <v>117</v>
      </c>
    </row>
    <row r="16" spans="1:18" x14ac:dyDescent="0.25">
      <c r="A16" s="2">
        <v>4</v>
      </c>
      <c r="B16">
        <f t="shared" si="0"/>
        <v>474</v>
      </c>
    </row>
    <row r="17" spans="1:2" x14ac:dyDescent="0.25">
      <c r="A17" s="2">
        <v>5</v>
      </c>
      <c r="B17">
        <f t="shared" si="0"/>
        <v>1205</v>
      </c>
    </row>
    <row r="18" spans="1:2" x14ac:dyDescent="0.25">
      <c r="A18" s="2">
        <v>6</v>
      </c>
      <c r="B18">
        <f t="shared" si="0"/>
        <v>2466</v>
      </c>
    </row>
    <row r="19" spans="1:2" x14ac:dyDescent="0.25">
      <c r="A19" s="2"/>
    </row>
    <row r="20" spans="1:2" x14ac:dyDescent="0.25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Анализ</vt:lpstr>
      <vt:lpstr>Квадратичная Аппроксимация</vt:lpstr>
      <vt:lpstr>Кубическая Аппроксимация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Заварзин</dc:creator>
  <cp:lastModifiedBy>Арсений Заварзин</cp:lastModifiedBy>
  <dcterms:created xsi:type="dcterms:W3CDTF">2026-10-26T19:02:42Z</dcterms:created>
  <dcterms:modified xsi:type="dcterms:W3CDTF">2026-10-26T21:47:36Z</dcterms:modified>
</cp:coreProperties>
</file>