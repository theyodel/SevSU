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evSU\2_Course\3_Term\Applied_Math_in_AI\lab_01\"/>
    </mc:Choice>
  </mc:AlternateContent>
  <xr:revisionPtr revIDLastSave="0" documentId="13_ncr:1_{27F573EB-CE40-4ADC-ABBC-7045E042EE99}" xr6:coauthVersionLast="47" xr6:coauthVersionMax="47" xr10:uidLastSave="{00000000-0000-0000-0000-000000000000}"/>
  <bookViews>
    <workbookView xWindow="-120" yWindow="-120" windowWidth="29040" windowHeight="17520" firstSheet="1" activeTab="2" xr2:uid="{1BBF2652-5E7F-46D7-B5BA-6FA9833463E3}"/>
  </bookViews>
  <sheets>
    <sheet name="Инициализация" sheetId="1" r:id="rId1"/>
    <sheet name="Итерации 1-3 Деление интервала" sheetId="2" r:id="rId2"/>
    <sheet name="Итерации 1-4 Фибоначчи" sheetId="5" r:id="rId3"/>
    <sheet name="Числа_Фибоначчи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5" l="1"/>
  <c r="H3" i="5"/>
  <c r="E4" i="5"/>
  <c r="A14" i="6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A4" i="6"/>
  <c r="A5" i="6"/>
  <c r="A6" i="6"/>
  <c r="A7" i="6"/>
  <c r="A8" i="6"/>
  <c r="A9" i="6"/>
  <c r="A10" i="6"/>
  <c r="A11" i="6"/>
  <c r="A12" i="6"/>
  <c r="A13" i="6"/>
  <c r="A15" i="6"/>
  <c r="A3" i="6"/>
  <c r="E3" i="5"/>
  <c r="E2" i="5"/>
  <c r="E1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L37" i="2"/>
  <c r="L40" i="2" s="1"/>
  <c r="L42" i="2" s="1"/>
  <c r="B38" i="2"/>
  <c r="L38" i="2"/>
  <c r="L39" i="2" s="1"/>
  <c r="B39" i="2"/>
  <c r="B40" i="2"/>
  <c r="B41" i="2"/>
  <c r="B42" i="2"/>
  <c r="L21" i="2"/>
  <c r="B22" i="2"/>
  <c r="L22" i="2"/>
  <c r="B23" i="2"/>
  <c r="L23" i="2"/>
  <c r="B24" i="2"/>
  <c r="L24" i="2"/>
  <c r="L26" i="2" s="1"/>
  <c r="B25" i="2"/>
  <c r="L25" i="2"/>
  <c r="L27" i="2" s="1"/>
  <c r="B26" i="2"/>
  <c r="B27" i="2"/>
  <c r="B28" i="2"/>
  <c r="B29" i="2"/>
  <c r="B30" i="2"/>
  <c r="L2" i="2"/>
  <c r="L3" i="2" s="1"/>
  <c r="L1" i="2"/>
  <c r="L5" i="2" s="1"/>
  <c r="L7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A16" i="6" l="1"/>
  <c r="L41" i="2"/>
  <c r="L11" i="2"/>
  <c r="L31" i="2"/>
  <c r="L4" i="2"/>
  <c r="L6" i="2" s="1"/>
  <c r="A17" i="6" l="1"/>
  <c r="L43" i="2"/>
  <c r="L47" i="2"/>
  <c r="A19" i="6" l="1"/>
  <c r="A18" i="6"/>
  <c r="A20" i="6" l="1"/>
  <c r="A21" i="6" l="1"/>
  <c r="A22" i="6" l="1"/>
  <c r="A23" i="6" l="1"/>
  <c r="A25" i="6" l="1"/>
  <c r="A24" i="6"/>
  <c r="A27" i="6" l="1"/>
  <c r="A26" i="6"/>
  <c r="A29" i="6" l="1"/>
  <c r="A28" i="6"/>
  <c r="A31" i="6" l="1"/>
  <c r="A30" i="6"/>
  <c r="A32" i="6" l="1"/>
  <c r="A34" i="6" l="1"/>
  <c r="A33" i="6"/>
  <c r="A35" i="6" l="1"/>
  <c r="A37" i="6" l="1"/>
  <c r="A36" i="6"/>
  <c r="A38" i="6" l="1"/>
  <c r="A40" i="6" l="1"/>
  <c r="A39" i="6"/>
  <c r="A42" i="6" l="1"/>
  <c r="A41" i="6"/>
  <c r="A44" i="6" l="1"/>
  <c r="A43" i="6"/>
  <c r="A45" i="6" l="1"/>
  <c r="A46" i="6" s="1"/>
  <c r="A48" i="6" l="1"/>
  <c r="A47" i="6"/>
  <c r="A50" i="6" l="1"/>
  <c r="A49" i="6"/>
  <c r="A51" i="6" l="1"/>
  <c r="A53" i="6" l="1"/>
  <c r="A52" i="6"/>
  <c r="A55" i="6" l="1"/>
  <c r="A54" i="6"/>
  <c r="A57" i="6" l="1"/>
  <c r="A56" i="6"/>
  <c r="A59" i="6" l="1"/>
  <c r="A58" i="6"/>
  <c r="A60" i="6" l="1"/>
  <c r="A62" i="6" l="1"/>
  <c r="A61" i="6"/>
  <c r="A64" i="6" l="1"/>
  <c r="A63" i="6"/>
  <c r="A66" i="6" l="1"/>
  <c r="A65" i="6"/>
  <c r="A68" i="6" l="1"/>
  <c r="A67" i="6"/>
  <c r="A70" i="6" l="1"/>
  <c r="A69" i="6"/>
  <c r="A72" i="6" l="1"/>
  <c r="A71" i="6"/>
  <c r="A73" i="6" l="1"/>
  <c r="A75" i="6" l="1"/>
  <c r="A74" i="6"/>
  <c r="A77" i="6" l="1"/>
  <c r="A76" i="6"/>
  <c r="A78" i="6" l="1"/>
  <c r="A79" i="6" l="1"/>
  <c r="A81" i="6" l="1"/>
  <c r="A80" i="6"/>
  <c r="A83" i="6" l="1"/>
  <c r="A82" i="6"/>
  <c r="A85" i="6" l="1"/>
  <c r="A84" i="6"/>
  <c r="A86" i="6" l="1"/>
  <c r="A88" i="6" l="1"/>
  <c r="A87" i="6"/>
  <c r="A89" i="6" l="1"/>
  <c r="A90" i="6" l="1"/>
  <c r="A92" i="6" l="1"/>
  <c r="A91" i="6"/>
  <c r="A94" i="6" l="1"/>
  <c r="A93" i="6"/>
  <c r="A96" i="6" l="1"/>
  <c r="A95" i="6"/>
  <c r="A98" i="6" l="1"/>
  <c r="A97" i="6"/>
  <c r="A100" i="6" l="1"/>
  <c r="A99" i="6"/>
  <c r="A101" i="6" l="1"/>
  <c r="A103" i="6" l="1"/>
  <c r="A102" i="6"/>
  <c r="A105" i="6" l="1"/>
  <c r="A104" i="6"/>
  <c r="A106" i="6" l="1"/>
  <c r="A108" i="6" l="1"/>
  <c r="A107" i="6"/>
  <c r="A110" i="6" l="1"/>
  <c r="A109" i="6"/>
  <c r="A112" i="6" l="1"/>
  <c r="A111" i="6"/>
  <c r="A114" i="6" l="1"/>
  <c r="A113" i="6"/>
  <c r="A116" i="6" l="1"/>
  <c r="A115" i="6"/>
  <c r="A118" i="6" l="1"/>
  <c r="A117" i="6"/>
  <c r="A120" i="6" l="1"/>
  <c r="A119" i="6"/>
  <c r="A122" i="6" l="1"/>
  <c r="A121" i="6"/>
  <c r="A124" i="6" l="1"/>
  <c r="A123" i="6"/>
  <c r="A125" i="6" l="1"/>
  <c r="A127" i="6" l="1"/>
  <c r="A126" i="6"/>
  <c r="A128" i="6" l="1"/>
  <c r="A129" i="6" s="1"/>
  <c r="A131" i="6" l="1"/>
  <c r="A130" i="6"/>
  <c r="A132" i="6" l="1"/>
  <c r="A133" i="6" s="1"/>
  <c r="A135" i="6" l="1"/>
  <c r="A134" i="6"/>
  <c r="A137" i="6" l="1"/>
  <c r="A136" i="6"/>
  <c r="A139" i="6" l="1"/>
  <c r="A138" i="6"/>
  <c r="A140" i="6" l="1"/>
  <c r="A142" i="6" l="1"/>
  <c r="A141" i="6"/>
  <c r="A144" i="6" l="1"/>
  <c r="A143" i="6"/>
  <c r="A146" i="6" l="1"/>
  <c r="A145" i="6"/>
  <c r="A148" i="6" l="1"/>
  <c r="A147" i="6"/>
  <c r="A149" i="6" l="1"/>
  <c r="A150" i="6" l="1"/>
  <c r="A151" i="6" l="1"/>
  <c r="A153" i="6" l="1"/>
  <c r="A152" i="6"/>
  <c r="A154" i="6" l="1"/>
  <c r="A155" i="6" l="1"/>
  <c r="A156" i="6" l="1"/>
  <c r="A157" i="6" l="1"/>
  <c r="A158" i="6" s="1"/>
  <c r="A160" i="6" l="1"/>
  <c r="A159" i="6"/>
  <c r="A162" i="6" l="1"/>
  <c r="A161" i="6"/>
  <c r="A164" i="6" l="1"/>
  <c r="A163" i="6"/>
  <c r="A165" i="6" l="1"/>
  <c r="A166" i="6" l="1"/>
  <c r="A167" i="6" l="1"/>
  <c r="A169" i="6" l="1"/>
  <c r="A168" i="6"/>
  <c r="A170" i="6" l="1"/>
  <c r="A171" i="6" l="1"/>
  <c r="A172" i="6" l="1"/>
  <c r="A173" i="6" l="1"/>
  <c r="A174" i="6" l="1"/>
  <c r="A175" i="6" l="1"/>
  <c r="A177" i="6" l="1"/>
  <c r="A176" i="6"/>
  <c r="A178" i="6" l="1"/>
  <c r="A179" i="6"/>
  <c r="A181" i="6" l="1"/>
  <c r="A180" i="6"/>
  <c r="A182" i="6" l="1"/>
  <c r="A183" i="6"/>
  <c r="A184" i="6" l="1"/>
  <c r="A185" i="6" l="1"/>
  <c r="A186" i="6" l="1"/>
  <c r="A187" i="6" l="1"/>
  <c r="A188" i="6" l="1"/>
  <c r="A190" i="6" l="1"/>
  <c r="A189" i="6"/>
  <c r="A191" i="6" l="1"/>
  <c r="A192" i="6"/>
  <c r="A194" i="6" l="1"/>
  <c r="A193" i="6"/>
  <c r="A195" i="6" l="1"/>
  <c r="A197" i="6" l="1"/>
  <c r="A196" i="6"/>
  <c r="A198" i="6" l="1"/>
  <c r="A199" i="6"/>
  <c r="A200" i="6" l="1"/>
  <c r="A201" i="6" l="1"/>
  <c r="A202" i="6" l="1"/>
  <c r="A203" i="6" l="1"/>
  <c r="A204" i="6" l="1"/>
  <c r="A205" i="6" l="1"/>
  <c r="A206" i="6" l="1"/>
  <c r="A207" i="6" l="1"/>
  <c r="A208" i="6" l="1"/>
  <c r="A209" i="6" l="1"/>
  <c r="A210" i="6" s="1"/>
</calcChain>
</file>

<file path=xl/sharedStrings.xml><?xml version="1.0" encoding="utf-8"?>
<sst xmlns="http://schemas.openxmlformats.org/spreadsheetml/2006/main" count="282" uniqueCount="237">
  <si>
    <t>f(x)</t>
  </si>
  <si>
    <t>x</t>
  </si>
  <si>
    <t>L=</t>
  </si>
  <si>
    <t>x_m =</t>
  </si>
  <si>
    <t>f(x_m) =</t>
  </si>
  <si>
    <t xml:space="preserve">x_1 = </t>
  </si>
  <si>
    <t>x_2 =</t>
  </si>
  <si>
    <t>f(x_1) =</t>
  </si>
  <si>
    <t>f(x_2) =</t>
  </si>
  <si>
    <t>Т.к. f(x_1) &lt; f(x_m), то отбрасываем часть интервала (-2; 6]</t>
  </si>
  <si>
    <t>L =</t>
  </si>
  <si>
    <r>
      <t>Т.к. |L|&lt;</t>
    </r>
    <r>
      <rPr>
        <sz val="11"/>
        <color theme="1"/>
        <rFont val="Aptos Narrow"/>
        <family val="2"/>
      </rPr>
      <t>ε , то произоводим ещё 1 итерацию</t>
    </r>
  </si>
  <si>
    <t>Т.к. f(x_2) &gt;= f(x_m), то отбрасываем интервалы (a; x_1) и (x_2; b)</t>
  </si>
  <si>
    <t xml:space="preserve">L = </t>
  </si>
  <si>
    <r>
      <t>Т.к. |L|&lt;</t>
    </r>
    <r>
      <rPr>
        <sz val="11"/>
        <color theme="1"/>
        <rFont val="Aptos Narrow"/>
        <family val="2"/>
      </rPr>
      <t>ε</t>
    </r>
    <r>
      <rPr>
        <sz val="8.8000000000000007"/>
        <color theme="1"/>
        <rFont val="Aptos Narrow"/>
        <family val="2"/>
        <charset val="204"/>
      </rPr>
      <t xml:space="preserve">, </t>
    </r>
    <r>
      <rPr>
        <sz val="11"/>
        <color theme="1"/>
        <rFont val="Aptos Narrow"/>
        <family val="2"/>
      </rPr>
      <t>то переходим к следующей итерации</t>
    </r>
  </si>
  <si>
    <t>ε =</t>
  </si>
  <si>
    <t>x_1 =</t>
  </si>
  <si>
    <t>1 итерация</t>
  </si>
  <si>
    <t>2 итерация</t>
  </si>
  <si>
    <t>3 итерация</t>
  </si>
  <si>
    <t>a =</t>
  </si>
  <si>
    <t xml:space="preserve">b = </t>
  </si>
  <si>
    <t>n =</t>
  </si>
  <si>
    <t>F_{n-1} &gt;=</t>
  </si>
  <si>
    <t>F_13 =</t>
  </si>
  <si>
    <t>F_1</t>
  </si>
  <si>
    <t>F_2</t>
  </si>
  <si>
    <t>F_3</t>
  </si>
  <si>
    <t>F_5</t>
  </si>
  <si>
    <t>F_8</t>
  </si>
  <si>
    <t>F_13</t>
  </si>
  <si>
    <t>F_21</t>
  </si>
  <si>
    <t>F_34</t>
  </si>
  <si>
    <t>F_55</t>
  </si>
  <si>
    <t>F_89</t>
  </si>
  <si>
    <t>F_144</t>
  </si>
  <si>
    <t>F_4</t>
  </si>
  <si>
    <t>F_6</t>
  </si>
  <si>
    <t>F_7</t>
  </si>
  <si>
    <t>F_9</t>
  </si>
  <si>
    <t>F_10</t>
  </si>
  <si>
    <t>F_11</t>
  </si>
  <si>
    <t>F_12</t>
  </si>
  <si>
    <t>F_14</t>
  </si>
  <si>
    <t>F_15</t>
  </si>
  <si>
    <t>F_16</t>
  </si>
  <si>
    <t>F_17</t>
  </si>
  <si>
    <t>F_18</t>
  </si>
  <si>
    <t>F_19</t>
  </si>
  <si>
    <t>F_20</t>
  </si>
  <si>
    <t>F_22</t>
  </si>
  <si>
    <t>F_23</t>
  </si>
  <si>
    <t>F_24</t>
  </si>
  <si>
    <t>F_25</t>
  </si>
  <si>
    <t>F_26</t>
  </si>
  <si>
    <t>F_27</t>
  </si>
  <si>
    <t>F_28</t>
  </si>
  <si>
    <t>F_29</t>
  </si>
  <si>
    <t>F_30</t>
  </si>
  <si>
    <t>F_31</t>
  </si>
  <si>
    <t>F_32</t>
  </si>
  <si>
    <t>F_33</t>
  </si>
  <si>
    <t>F_35</t>
  </si>
  <si>
    <t>F_36</t>
  </si>
  <si>
    <t>F_37</t>
  </si>
  <si>
    <t>F_38</t>
  </si>
  <si>
    <t>F_39</t>
  </si>
  <si>
    <t>F_40</t>
  </si>
  <si>
    <t>F_41</t>
  </si>
  <si>
    <t>F_42</t>
  </si>
  <si>
    <t>F_43</t>
  </si>
  <si>
    <t>F_44</t>
  </si>
  <si>
    <t>F_45</t>
  </si>
  <si>
    <t>F_46</t>
  </si>
  <si>
    <t>F_47</t>
  </si>
  <si>
    <t>F_48</t>
  </si>
  <si>
    <t>F_49</t>
  </si>
  <si>
    <t>F_50</t>
  </si>
  <si>
    <t>F_51</t>
  </si>
  <si>
    <t>F_52</t>
  </si>
  <si>
    <t>F_53</t>
  </si>
  <si>
    <t>F_54</t>
  </si>
  <si>
    <t>F_56</t>
  </si>
  <si>
    <t>F_57</t>
  </si>
  <si>
    <t>F_58</t>
  </si>
  <si>
    <t>F_59</t>
  </si>
  <si>
    <t>F_60</t>
  </si>
  <si>
    <t>F_61</t>
  </si>
  <si>
    <t>F_62</t>
  </si>
  <si>
    <t>F_63</t>
  </si>
  <si>
    <t>F_64</t>
  </si>
  <si>
    <t>F_65</t>
  </si>
  <si>
    <t>F_66</t>
  </si>
  <si>
    <t>F_67</t>
  </si>
  <si>
    <t>F_68</t>
  </si>
  <si>
    <t>F_69</t>
  </si>
  <si>
    <t>F_70</t>
  </si>
  <si>
    <t>F_71</t>
  </si>
  <si>
    <t>F_72</t>
  </si>
  <si>
    <t>F_73</t>
  </si>
  <si>
    <t>F_74</t>
  </si>
  <si>
    <t>F_75</t>
  </si>
  <si>
    <t>F_76</t>
  </si>
  <si>
    <t>F_77</t>
  </si>
  <si>
    <t>F_78</t>
  </si>
  <si>
    <t>F_79</t>
  </si>
  <si>
    <t>F_80</t>
  </si>
  <si>
    <t>F_81</t>
  </si>
  <si>
    <t>F_82</t>
  </si>
  <si>
    <t>F_83</t>
  </si>
  <si>
    <t>F_84</t>
  </si>
  <si>
    <t>F_85</t>
  </si>
  <si>
    <t>F_86</t>
  </si>
  <si>
    <t>F_87</t>
  </si>
  <si>
    <t>F_88</t>
  </si>
  <si>
    <t>F_90</t>
  </si>
  <si>
    <t>F_91</t>
  </si>
  <si>
    <t>F_92</t>
  </si>
  <si>
    <t>F_93</t>
  </si>
  <si>
    <t>F_94</t>
  </si>
  <si>
    <t>F_95</t>
  </si>
  <si>
    <t>F_96</t>
  </si>
  <si>
    <t>F_97</t>
  </si>
  <si>
    <t>F_98</t>
  </si>
  <si>
    <t>F_99</t>
  </si>
  <si>
    <t>F_100</t>
  </si>
  <si>
    <t>F_101</t>
  </si>
  <si>
    <t>F_102</t>
  </si>
  <si>
    <t>F_103</t>
  </si>
  <si>
    <t>F_104</t>
  </si>
  <si>
    <t>F_105</t>
  </si>
  <si>
    <t>F_106</t>
  </si>
  <si>
    <t>F_107</t>
  </si>
  <si>
    <t>F_108</t>
  </si>
  <si>
    <t>F_109</t>
  </si>
  <si>
    <t>F_110</t>
  </si>
  <si>
    <t>F_111</t>
  </si>
  <si>
    <t>F_112</t>
  </si>
  <si>
    <t>F_113</t>
  </si>
  <si>
    <t>F_114</t>
  </si>
  <si>
    <t>F_115</t>
  </si>
  <si>
    <t>F_116</t>
  </si>
  <si>
    <t>F_117</t>
  </si>
  <si>
    <t>F_118</t>
  </si>
  <si>
    <t>F_119</t>
  </si>
  <si>
    <t>F_120</t>
  </si>
  <si>
    <t>F_121</t>
  </si>
  <si>
    <t>F_122</t>
  </si>
  <si>
    <t>F_123</t>
  </si>
  <si>
    <t>F_124</t>
  </si>
  <si>
    <t>F_125</t>
  </si>
  <si>
    <t>F_126</t>
  </si>
  <si>
    <t>F_127</t>
  </si>
  <si>
    <t>F_128</t>
  </si>
  <si>
    <t>F_129</t>
  </si>
  <si>
    <t>F_130</t>
  </si>
  <si>
    <t>F_131</t>
  </si>
  <si>
    <t>F_132</t>
  </si>
  <si>
    <t>F_133</t>
  </si>
  <si>
    <t>F_134</t>
  </si>
  <si>
    <t>F_135</t>
  </si>
  <si>
    <t>F_136</t>
  </si>
  <si>
    <t>F_137</t>
  </si>
  <si>
    <t>F_138</t>
  </si>
  <si>
    <t>F_139</t>
  </si>
  <si>
    <t>F_140</t>
  </si>
  <si>
    <t>F_141</t>
  </si>
  <si>
    <t>F_142</t>
  </si>
  <si>
    <t>F_143</t>
  </si>
  <si>
    <t>F_145</t>
  </si>
  <si>
    <t>F_146</t>
  </si>
  <si>
    <t>F_147</t>
  </si>
  <si>
    <t>F_148</t>
  </si>
  <si>
    <t>F_149</t>
  </si>
  <si>
    <t>F_150</t>
  </si>
  <si>
    <t>F_151</t>
  </si>
  <si>
    <t>F_152</t>
  </si>
  <si>
    <t>F_153</t>
  </si>
  <si>
    <t>F_154</t>
  </si>
  <si>
    <t>F_155</t>
  </si>
  <si>
    <t>F_156</t>
  </si>
  <si>
    <t>F_157</t>
  </si>
  <si>
    <t>F_158</t>
  </si>
  <si>
    <t>F_159</t>
  </si>
  <si>
    <t>F_160</t>
  </si>
  <si>
    <t>F_161</t>
  </si>
  <si>
    <t>F_162</t>
  </si>
  <si>
    <t>F_163</t>
  </si>
  <si>
    <t>F_164</t>
  </si>
  <si>
    <t>F_165</t>
  </si>
  <si>
    <t>F_166</t>
  </si>
  <si>
    <t>F_167</t>
  </si>
  <si>
    <t>F_168</t>
  </si>
  <si>
    <t>F_169</t>
  </si>
  <si>
    <t>F_170</t>
  </si>
  <si>
    <t>F_171</t>
  </si>
  <si>
    <t>F_172</t>
  </si>
  <si>
    <t>F_173</t>
  </si>
  <si>
    <t>F_174</t>
  </si>
  <si>
    <t>F_175</t>
  </si>
  <si>
    <t>F_176</t>
  </si>
  <si>
    <t>F_177</t>
  </si>
  <si>
    <t>F_178</t>
  </si>
  <si>
    <t>F_179</t>
  </si>
  <si>
    <t>F_180</t>
  </si>
  <si>
    <t>F_181</t>
  </si>
  <si>
    <t>F_182</t>
  </si>
  <si>
    <t>F_183</t>
  </si>
  <si>
    <t>F_184</t>
  </si>
  <si>
    <t>F_185</t>
  </si>
  <si>
    <t>F_186</t>
  </si>
  <si>
    <t>F_187</t>
  </si>
  <si>
    <t>F_188</t>
  </si>
  <si>
    <t>F_189</t>
  </si>
  <si>
    <t>F_190</t>
  </si>
  <si>
    <t>F_191</t>
  </si>
  <si>
    <t>F_192</t>
  </si>
  <si>
    <t>F_193</t>
  </si>
  <si>
    <t>F_194</t>
  </si>
  <si>
    <t>F_195</t>
  </si>
  <si>
    <t>F_196</t>
  </si>
  <si>
    <t>F_197</t>
  </si>
  <si>
    <t>F_198</t>
  </si>
  <si>
    <t>F_199</t>
  </si>
  <si>
    <t>F_200</t>
  </si>
  <si>
    <t>F_201</t>
  </si>
  <si>
    <t>F_202</t>
  </si>
  <si>
    <t>F_203</t>
  </si>
  <si>
    <t>F_204</t>
  </si>
  <si>
    <t>F_205</t>
  </si>
  <si>
    <t>F_206</t>
  </si>
  <si>
    <t>F_207</t>
  </si>
  <si>
    <t>F_208</t>
  </si>
  <si>
    <t>F_209</t>
  </si>
  <si>
    <t xml:space="preserve">f(x_1) = </t>
  </si>
  <si>
    <t>F_210</t>
  </si>
  <si>
    <t>F_14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</si>
</sst>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.8000000000000007"/>
      <color theme="1"/>
      <name val="Aptos Narrow"/>
      <family val="2"/>
      <charset val="204"/>
    </font>
    <font>
      <sz val="11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Инициализация!$B$1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Инициализация!$A:$A</c15:sqref>
                  </c15:fullRef>
                </c:ext>
              </c:extLst>
              <c:f>Инициализация!$A$2:$A$1048576</c:f>
              <c:strCache>
                <c:ptCount val="39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Инициализация!$B$2:$B$40</c15:sqref>
                  </c15:fullRef>
                </c:ext>
              </c:extLst>
              <c:f>Инициализация!$B$3:$B$40</c:f>
              <c:numCache>
                <c:formatCode>General</c:formatCode>
                <c:ptCount val="38"/>
                <c:pt idx="0">
                  <c:v>57762</c:v>
                </c:pt>
                <c:pt idx="1">
                  <c:v>43797</c:v>
                </c:pt>
                <c:pt idx="2">
                  <c:v>32474</c:v>
                </c:pt>
                <c:pt idx="3">
                  <c:v>23445</c:v>
                </c:pt>
                <c:pt idx="4">
                  <c:v>16386</c:v>
                </c:pt>
                <c:pt idx="5">
                  <c:v>10997</c:v>
                </c:pt>
                <c:pt idx="6">
                  <c:v>7002</c:v>
                </c:pt>
                <c:pt idx="7">
                  <c:v>4149</c:v>
                </c:pt>
                <c:pt idx="8">
                  <c:v>2210</c:v>
                </c:pt>
                <c:pt idx="9">
                  <c:v>981</c:v>
                </c:pt>
                <c:pt idx="10">
                  <c:v>282</c:v>
                </c:pt>
                <c:pt idx="11">
                  <c:v>-43</c:v>
                </c:pt>
                <c:pt idx="12">
                  <c:v>-126</c:v>
                </c:pt>
                <c:pt idx="13">
                  <c:v>-75</c:v>
                </c:pt>
                <c:pt idx="14">
                  <c:v>26</c:v>
                </c:pt>
                <c:pt idx="15">
                  <c:v>117</c:v>
                </c:pt>
                <c:pt idx="16">
                  <c:v>162</c:v>
                </c:pt>
                <c:pt idx="17">
                  <c:v>149</c:v>
                </c:pt>
                <c:pt idx="18">
                  <c:v>90</c:v>
                </c:pt>
                <c:pt idx="19">
                  <c:v>21</c:v>
                </c:pt>
                <c:pt idx="20">
                  <c:v>2</c:v>
                </c:pt>
                <c:pt idx="21">
                  <c:v>117</c:v>
                </c:pt>
                <c:pt idx="22">
                  <c:v>474</c:v>
                </c:pt>
                <c:pt idx="23">
                  <c:v>1205</c:v>
                </c:pt>
                <c:pt idx="24">
                  <c:v>2466</c:v>
                </c:pt>
                <c:pt idx="25">
                  <c:v>4437</c:v>
                </c:pt>
                <c:pt idx="26">
                  <c:v>7322</c:v>
                </c:pt>
                <c:pt idx="27">
                  <c:v>11349</c:v>
                </c:pt>
                <c:pt idx="28">
                  <c:v>16770</c:v>
                </c:pt>
                <c:pt idx="29">
                  <c:v>23861</c:v>
                </c:pt>
                <c:pt idx="30">
                  <c:v>32922</c:v>
                </c:pt>
                <c:pt idx="31">
                  <c:v>44277</c:v>
                </c:pt>
                <c:pt idx="32">
                  <c:v>58274</c:v>
                </c:pt>
                <c:pt idx="33">
                  <c:v>75285</c:v>
                </c:pt>
                <c:pt idx="34">
                  <c:v>95706</c:v>
                </c:pt>
                <c:pt idx="35">
                  <c:v>119957</c:v>
                </c:pt>
                <c:pt idx="36">
                  <c:v>148482</c:v>
                </c:pt>
                <c:pt idx="37">
                  <c:v>181749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D7-49BD-922E-6BBCA3191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278080"/>
        <c:axId val="672634256"/>
      </c:lineChart>
      <c:catAx>
        <c:axId val="67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634256"/>
        <c:crosses val="autoZero"/>
        <c:auto val="1"/>
        <c:lblAlgn val="ctr"/>
        <c:lblOffset val="100"/>
        <c:noMultiLvlLbl val="0"/>
      </c:catAx>
      <c:valAx>
        <c:axId val="6726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'Итерации 1-3 Деление интервала'!$A:$A</c15:sqref>
                  </c15:fullRef>
                </c:ext>
              </c:extLst>
              <c:f>'Итерации 1-3 Деление интервала'!$A$2:$A$1048576</c:f>
              <c:strCache>
                <c:ptCount val="4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9">
                  <c:v>x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35">
                  <c:v>x</c:v>
                </c:pt>
                <c:pt idx="36">
                  <c:v>-8</c:v>
                </c:pt>
                <c:pt idx="37">
                  <c:v>-7</c:v>
                </c:pt>
                <c:pt idx="38">
                  <c:v>-6</c:v>
                </c:pt>
                <c:pt idx="39">
                  <c:v>-5</c:v>
                </c:pt>
                <c:pt idx="40">
                  <c:v>-4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'Итерации 1-3 Деление интервала'!$B$2:$B$18</c15:sqref>
                  </c15:fullRef>
                </c:ext>
              </c:extLst>
              <c:f>'Итерации 1-3 Деление интервала'!$B$3:$B$18</c:f>
              <c:numCache>
                <c:formatCode>General</c:formatCode>
                <c:ptCount val="16"/>
                <c:pt idx="0">
                  <c:v>981</c:v>
                </c:pt>
                <c:pt idx="1">
                  <c:v>282</c:v>
                </c:pt>
                <c:pt idx="2">
                  <c:v>-43</c:v>
                </c:pt>
                <c:pt idx="3">
                  <c:v>-126</c:v>
                </c:pt>
                <c:pt idx="4">
                  <c:v>-75</c:v>
                </c:pt>
                <c:pt idx="5">
                  <c:v>26</c:v>
                </c:pt>
                <c:pt idx="6">
                  <c:v>117</c:v>
                </c:pt>
                <c:pt idx="7">
                  <c:v>162</c:v>
                </c:pt>
                <c:pt idx="8">
                  <c:v>149</c:v>
                </c:pt>
                <c:pt idx="9">
                  <c:v>90</c:v>
                </c:pt>
                <c:pt idx="10">
                  <c:v>21</c:v>
                </c:pt>
                <c:pt idx="11">
                  <c:v>2</c:v>
                </c:pt>
                <c:pt idx="12">
                  <c:v>117</c:v>
                </c:pt>
                <c:pt idx="13">
                  <c:v>474</c:v>
                </c:pt>
                <c:pt idx="14">
                  <c:v>1205</c:v>
                </c:pt>
                <c:pt idx="15">
                  <c:v>2466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B-4D11-A496-347360003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285440"/>
        <c:axId val="672599216"/>
      </c:lineChart>
      <c:catAx>
        <c:axId val="7572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599216"/>
        <c:crosses val="autoZero"/>
        <c:auto val="1"/>
        <c:lblAlgn val="ctr"/>
        <c:lblOffset val="100"/>
        <c:noMultiLvlLbl val="0"/>
      </c:catAx>
      <c:valAx>
        <c:axId val="6725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28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'Итерации 1-3 Деление интервала'!$B$21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'Итерации 1-3 Деление интервала'!$B$22:$B$29</c15:sqref>
                  </c15:fullRef>
                </c:ext>
              </c:extLst>
              <c:f>'Итерации 1-3 Деление интервала'!$B$23:$B$29</c:f>
              <c:numCache>
                <c:formatCode>General</c:formatCode>
                <c:ptCount val="7"/>
                <c:pt idx="0">
                  <c:v>981</c:v>
                </c:pt>
                <c:pt idx="1">
                  <c:v>282</c:v>
                </c:pt>
                <c:pt idx="2">
                  <c:v>-43</c:v>
                </c:pt>
                <c:pt idx="3">
                  <c:v>-126</c:v>
                </c:pt>
                <c:pt idx="4">
                  <c:v>-75</c:v>
                </c:pt>
                <c:pt idx="5">
                  <c:v>26</c:v>
                </c:pt>
                <c:pt idx="6">
                  <c:v>117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3C5-4C63-BDD5-FBF1203C2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363408"/>
        <c:axId val="672524336"/>
      </c:lineChart>
      <c:catAx>
        <c:axId val="7573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524336"/>
        <c:crosses val="autoZero"/>
        <c:auto val="1"/>
        <c:lblAlgn val="ctr"/>
        <c:lblOffset val="100"/>
        <c:noMultiLvlLbl val="0"/>
      </c:catAx>
      <c:valAx>
        <c:axId val="672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3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'Итерации 1-3 Деление интервала'!$B$37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'Итерации 1-3 Деление интервала'!$B$38:$B$42</c:f>
              <c:numCache>
                <c:formatCode>General</c:formatCode>
                <c:ptCount val="5"/>
                <c:pt idx="0">
                  <c:v>282</c:v>
                </c:pt>
                <c:pt idx="1">
                  <c:v>-43</c:v>
                </c:pt>
                <c:pt idx="2">
                  <c:v>-126</c:v>
                </c:pt>
                <c:pt idx="3">
                  <c:v>-75</c:v>
                </c:pt>
                <c:pt idx="4">
                  <c:v>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D84-4631-B45A-F36E5A40B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192992"/>
        <c:axId val="672571856"/>
      </c:lineChart>
      <c:catAx>
        <c:axId val="77119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571856"/>
        <c:crosses val="autoZero"/>
        <c:auto val="1"/>
        <c:lblAlgn val="ctr"/>
        <c:lblOffset val="100"/>
        <c:noMultiLvlLbl val="0"/>
      </c:catAx>
      <c:valAx>
        <c:axId val="6725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19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77263</xdr:colOff>
      <xdr:row>0</xdr:row>
      <xdr:rowOff>45347</xdr:rowOff>
    </xdr:from>
    <xdr:to>
      <xdr:col>18</xdr:col>
      <xdr:colOff>506648</xdr:colOff>
      <xdr:row>26</xdr:row>
      <xdr:rowOff>121594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9C56A0-341F-A3E1-F11B-E8823857F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52387</xdr:rowOff>
    </xdr:from>
    <xdr:to>
      <xdr:col>9</xdr:col>
      <xdr:colOff>371475</xdr:colOff>
      <xdr:row>13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C92EF9-FAEF-23FB-28D5-32CC9A38B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9</xdr:col>
      <xdr:colOff>344712</xdr:colOff>
      <xdr:row>34</xdr:row>
      <xdr:rowOff>139024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22BB1E2-01F1-4F1F-BE5F-B24805888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36</xdr:row>
      <xdr:rowOff>0</xdr:rowOff>
    </xdr:from>
    <xdr:to>
      <xdr:col>9</xdr:col>
      <xdr:colOff>335204</xdr:colOff>
      <xdr:row>49</xdr:row>
      <xdr:rowOff>31571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D6C73D2-22A3-4C8C-9FC0-CBA31EE69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8F52-10D6-43E8-B03D-E6B8022C983D}">
  <dimension ref="A1:E40"/>
  <sheetViews>
    <sheetView zoomScale="71" workbookViewId="0">
      <selection activeCell="F32" sqref="F32"/>
    </sheetView>
  </sheetViews>
  <sheetFormatPr defaultRowHeight="15" x14ac:dyDescent="0.25"/>
  <cols>
    <col min="1" max="2" width="27.42578125" customWidth="1"/>
  </cols>
  <sheetData>
    <row r="1" spans="1:2" ht="30" customHeight="1" x14ac:dyDescent="0.25">
      <c r="A1" s="1" t="s">
        <v>1</v>
      </c>
      <c r="B1" s="1" t="s">
        <v>0</v>
      </c>
    </row>
    <row r="2" spans="1:2" x14ac:dyDescent="0.25">
      <c r="A2" s="2">
        <v>-19</v>
      </c>
      <c r="B2">
        <f t="shared" ref="B2:B40" si="0">POWER(A2,4)+8*POWER(A2,3)-6*POWER(A2,2)-72*A2+90</f>
        <v>74741</v>
      </c>
    </row>
    <row r="3" spans="1:2" x14ac:dyDescent="0.25">
      <c r="A3" s="2">
        <v>-18</v>
      </c>
      <c r="B3">
        <f t="shared" si="0"/>
        <v>57762</v>
      </c>
    </row>
    <row r="4" spans="1:2" x14ac:dyDescent="0.25">
      <c r="A4" s="2">
        <v>-17</v>
      </c>
      <c r="B4">
        <f t="shared" si="0"/>
        <v>43797</v>
      </c>
    </row>
    <row r="5" spans="1:2" x14ac:dyDescent="0.25">
      <c r="A5" s="2">
        <v>-16</v>
      </c>
      <c r="B5">
        <f t="shared" si="0"/>
        <v>32474</v>
      </c>
    </row>
    <row r="6" spans="1:2" x14ac:dyDescent="0.25">
      <c r="A6" s="2">
        <v>-15</v>
      </c>
      <c r="B6">
        <f t="shared" si="0"/>
        <v>23445</v>
      </c>
    </row>
    <row r="7" spans="1:2" x14ac:dyDescent="0.25">
      <c r="A7" s="2">
        <v>-14</v>
      </c>
      <c r="B7">
        <f t="shared" si="0"/>
        <v>16386</v>
      </c>
    </row>
    <row r="8" spans="1:2" x14ac:dyDescent="0.25">
      <c r="A8" s="2">
        <v>-13</v>
      </c>
      <c r="B8">
        <f t="shared" si="0"/>
        <v>10997</v>
      </c>
    </row>
    <row r="9" spans="1:2" x14ac:dyDescent="0.25">
      <c r="A9" s="2">
        <v>-12</v>
      </c>
      <c r="B9">
        <f t="shared" si="0"/>
        <v>7002</v>
      </c>
    </row>
    <row r="10" spans="1:2" x14ac:dyDescent="0.25">
      <c r="A10" s="2">
        <v>-11</v>
      </c>
      <c r="B10">
        <f t="shared" si="0"/>
        <v>4149</v>
      </c>
    </row>
    <row r="11" spans="1:2" x14ac:dyDescent="0.25">
      <c r="A11" s="2">
        <v>-10</v>
      </c>
      <c r="B11">
        <f t="shared" si="0"/>
        <v>2210</v>
      </c>
    </row>
    <row r="12" spans="1:2" x14ac:dyDescent="0.25">
      <c r="A12" s="2">
        <v>-9</v>
      </c>
      <c r="B12">
        <f t="shared" si="0"/>
        <v>981</v>
      </c>
    </row>
    <row r="13" spans="1:2" x14ac:dyDescent="0.25">
      <c r="A13" s="2">
        <v>-8</v>
      </c>
      <c r="B13">
        <f t="shared" si="0"/>
        <v>282</v>
      </c>
    </row>
    <row r="14" spans="1:2" x14ac:dyDescent="0.25">
      <c r="A14" s="2">
        <v>-7</v>
      </c>
      <c r="B14">
        <f t="shared" si="0"/>
        <v>-43</v>
      </c>
    </row>
    <row r="15" spans="1:2" x14ac:dyDescent="0.25">
      <c r="A15" s="2">
        <v>-6</v>
      </c>
      <c r="B15">
        <f t="shared" si="0"/>
        <v>-126</v>
      </c>
    </row>
    <row r="16" spans="1:2" x14ac:dyDescent="0.25">
      <c r="A16" s="2">
        <v>-5</v>
      </c>
      <c r="B16">
        <f>POWER(A16,4)+8*POWER(A16,3)-6*POWER(A16,2)-72*A16+90</f>
        <v>-75</v>
      </c>
    </row>
    <row r="17" spans="1:5" x14ac:dyDescent="0.25">
      <c r="A17" s="2">
        <v>-4</v>
      </c>
      <c r="B17">
        <f t="shared" si="0"/>
        <v>26</v>
      </c>
    </row>
    <row r="18" spans="1:5" x14ac:dyDescent="0.25">
      <c r="A18" s="2">
        <v>-3</v>
      </c>
      <c r="B18">
        <f t="shared" si="0"/>
        <v>117</v>
      </c>
    </row>
    <row r="19" spans="1:5" x14ac:dyDescent="0.25">
      <c r="A19" s="2">
        <v>-2</v>
      </c>
      <c r="B19">
        <f t="shared" si="0"/>
        <v>162</v>
      </c>
    </row>
    <row r="20" spans="1:5" x14ac:dyDescent="0.25">
      <c r="A20" s="2">
        <v>-1</v>
      </c>
      <c r="B20">
        <f t="shared" si="0"/>
        <v>149</v>
      </c>
    </row>
    <row r="21" spans="1:5" x14ac:dyDescent="0.25">
      <c r="A21" s="2">
        <v>0</v>
      </c>
      <c r="B21">
        <f t="shared" si="0"/>
        <v>90</v>
      </c>
    </row>
    <row r="22" spans="1:5" x14ac:dyDescent="0.25">
      <c r="A22" s="2">
        <v>1</v>
      </c>
      <c r="B22">
        <f t="shared" si="0"/>
        <v>21</v>
      </c>
    </row>
    <row r="23" spans="1:5" x14ac:dyDescent="0.25">
      <c r="A23" s="2">
        <v>2</v>
      </c>
      <c r="B23">
        <f t="shared" si="0"/>
        <v>2</v>
      </c>
    </row>
    <row r="24" spans="1:5" x14ac:dyDescent="0.25">
      <c r="A24" s="2">
        <v>3</v>
      </c>
      <c r="B24">
        <f t="shared" si="0"/>
        <v>117</v>
      </c>
    </row>
    <row r="25" spans="1:5" x14ac:dyDescent="0.25">
      <c r="A25" s="2">
        <v>4</v>
      </c>
      <c r="B25">
        <f t="shared" si="0"/>
        <v>474</v>
      </c>
    </row>
    <row r="26" spans="1:5" x14ac:dyDescent="0.25">
      <c r="A26" s="2">
        <v>5</v>
      </c>
      <c r="B26">
        <f t="shared" si="0"/>
        <v>1205</v>
      </c>
    </row>
    <row r="27" spans="1:5" ht="15.75" thickBot="1" x14ac:dyDescent="0.3">
      <c r="A27" s="2">
        <v>6</v>
      </c>
      <c r="B27">
        <f t="shared" si="0"/>
        <v>2466</v>
      </c>
    </row>
    <row r="28" spans="1:5" ht="15.75" thickBot="1" x14ac:dyDescent="0.3">
      <c r="A28" s="2">
        <v>7</v>
      </c>
      <c r="B28">
        <f t="shared" si="0"/>
        <v>4437</v>
      </c>
      <c r="D28" s="5" t="s">
        <v>15</v>
      </c>
      <c r="E28" s="6">
        <v>0.05</v>
      </c>
    </row>
    <row r="29" spans="1:5" x14ac:dyDescent="0.25">
      <c r="A29" s="2">
        <v>8</v>
      </c>
      <c r="B29">
        <f t="shared" si="0"/>
        <v>7322</v>
      </c>
    </row>
    <row r="30" spans="1:5" x14ac:dyDescent="0.25">
      <c r="A30" s="2">
        <v>9</v>
      </c>
      <c r="B30">
        <f t="shared" si="0"/>
        <v>11349</v>
      </c>
    </row>
    <row r="31" spans="1:5" x14ac:dyDescent="0.25">
      <c r="A31" s="2">
        <v>10</v>
      </c>
      <c r="B31">
        <f t="shared" si="0"/>
        <v>16770</v>
      </c>
    </row>
    <row r="32" spans="1:5" x14ac:dyDescent="0.25">
      <c r="A32" s="2">
        <v>11</v>
      </c>
      <c r="B32">
        <f t="shared" si="0"/>
        <v>23861</v>
      </c>
    </row>
    <row r="33" spans="1:2" x14ac:dyDescent="0.25">
      <c r="A33" s="2">
        <v>12</v>
      </c>
      <c r="B33">
        <f t="shared" si="0"/>
        <v>32922</v>
      </c>
    </row>
    <row r="34" spans="1:2" x14ac:dyDescent="0.25">
      <c r="A34" s="2">
        <v>13</v>
      </c>
      <c r="B34">
        <f t="shared" si="0"/>
        <v>44277</v>
      </c>
    </row>
    <row r="35" spans="1:2" x14ac:dyDescent="0.25">
      <c r="A35" s="2">
        <v>14</v>
      </c>
      <c r="B35">
        <f t="shared" si="0"/>
        <v>58274</v>
      </c>
    </row>
    <row r="36" spans="1:2" x14ac:dyDescent="0.25">
      <c r="A36" s="2">
        <v>15</v>
      </c>
      <c r="B36">
        <f t="shared" si="0"/>
        <v>75285</v>
      </c>
    </row>
    <row r="37" spans="1:2" x14ac:dyDescent="0.25">
      <c r="A37" s="2">
        <v>16</v>
      </c>
      <c r="B37">
        <f t="shared" si="0"/>
        <v>95706</v>
      </c>
    </row>
    <row r="38" spans="1:2" x14ac:dyDescent="0.25">
      <c r="A38" s="2">
        <v>17</v>
      </c>
      <c r="B38">
        <f t="shared" si="0"/>
        <v>119957</v>
      </c>
    </row>
    <row r="39" spans="1:2" x14ac:dyDescent="0.25">
      <c r="A39" s="2">
        <v>18</v>
      </c>
      <c r="B39">
        <f t="shared" si="0"/>
        <v>148482</v>
      </c>
    </row>
    <row r="40" spans="1:2" x14ac:dyDescent="0.25">
      <c r="A40" s="2">
        <v>19</v>
      </c>
      <c r="B40">
        <f t="shared" si="0"/>
        <v>181749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1D23-8DAC-4DCE-844C-82937C15051A}">
  <dimension ref="A1:S55"/>
  <sheetViews>
    <sheetView zoomScale="105" zoomScaleNormal="253" workbookViewId="0">
      <selection activeCell="P39" sqref="P39"/>
    </sheetView>
  </sheetViews>
  <sheetFormatPr defaultRowHeight="15" x14ac:dyDescent="0.25"/>
  <cols>
    <col min="1" max="1" width="27.42578125" customWidth="1"/>
    <col min="2" max="2" width="27.5703125" customWidth="1"/>
  </cols>
  <sheetData>
    <row r="1" spans="1:19" ht="30.75" customHeight="1" x14ac:dyDescent="0.25">
      <c r="A1" s="1" t="s">
        <v>1</v>
      </c>
      <c r="B1" s="1" t="s">
        <v>0</v>
      </c>
      <c r="K1" s="3" t="s">
        <v>2</v>
      </c>
      <c r="L1" s="4">
        <f>A18-A2</f>
        <v>16</v>
      </c>
      <c r="S1" s="26" t="s">
        <v>17</v>
      </c>
    </row>
    <row r="2" spans="1:19" x14ac:dyDescent="0.25">
      <c r="A2" s="2">
        <v>-10</v>
      </c>
      <c r="B2" s="2">
        <f>POWER(A2,4)+8*POWER(A2,3)-6*POWER(A2,2)-72*A2+90</f>
        <v>2210</v>
      </c>
      <c r="K2" s="3" t="s">
        <v>3</v>
      </c>
      <c r="L2" s="4">
        <f>(A18+A2)/2</f>
        <v>-2</v>
      </c>
      <c r="S2" s="26"/>
    </row>
    <row r="3" spans="1:19" x14ac:dyDescent="0.25">
      <c r="A3" s="2">
        <v>-9</v>
      </c>
      <c r="B3" s="2">
        <f t="shared" ref="B3:B18" si="0">POWER(A3,4)+8*POWER(A3,3)-6*POWER(A3,2)-72*A3+90</f>
        <v>981</v>
      </c>
      <c r="K3" s="3" t="s">
        <v>4</v>
      </c>
      <c r="L3" s="4">
        <f>POWER(L2,4)+8*POWER(L2,3)-6*POWER(L2,2)-72*L2+90</f>
        <v>162</v>
      </c>
      <c r="S3" s="26"/>
    </row>
    <row r="4" spans="1:19" x14ac:dyDescent="0.25">
      <c r="A4" s="2">
        <v>-8</v>
      </c>
      <c r="B4" s="2">
        <f t="shared" si="0"/>
        <v>282</v>
      </c>
      <c r="K4" s="3" t="s">
        <v>5</v>
      </c>
      <c r="L4" s="4">
        <f>A2+L1/4</f>
        <v>-6</v>
      </c>
      <c r="S4" s="26"/>
    </row>
    <row r="5" spans="1:19" x14ac:dyDescent="0.25">
      <c r="A5" s="2">
        <v>-7</v>
      </c>
      <c r="B5" s="2">
        <f t="shared" si="0"/>
        <v>-43</v>
      </c>
      <c r="K5" s="3" t="s">
        <v>6</v>
      </c>
      <c r="L5" s="4">
        <f>A18-L1/4</f>
        <v>2</v>
      </c>
      <c r="S5" s="26"/>
    </row>
    <row r="6" spans="1:19" x14ac:dyDescent="0.25">
      <c r="A6" s="2">
        <v>-6</v>
      </c>
      <c r="B6" s="2">
        <f t="shared" si="0"/>
        <v>-126</v>
      </c>
      <c r="K6" s="3" t="s">
        <v>7</v>
      </c>
      <c r="L6" s="4">
        <f>POWER(L4,4)+8*POWER(L4,3)-6*POWER(L4,2)-72*L4+90</f>
        <v>-126</v>
      </c>
      <c r="S6" s="26"/>
    </row>
    <row r="7" spans="1:19" x14ac:dyDescent="0.25">
      <c r="A7" s="2">
        <v>-5</v>
      </c>
      <c r="B7" s="2">
        <f t="shared" si="0"/>
        <v>-75</v>
      </c>
      <c r="K7" s="3" t="s">
        <v>8</v>
      </c>
      <c r="L7" s="4">
        <f>POWER(L5,4)+8*POWER(L5,3)-6*POWER(L5,2)-72*L5+90</f>
        <v>2</v>
      </c>
      <c r="S7" s="26"/>
    </row>
    <row r="8" spans="1:19" ht="15.75" thickBot="1" x14ac:dyDescent="0.3">
      <c r="A8" s="2">
        <v>-4</v>
      </c>
      <c r="B8" s="2">
        <f t="shared" si="0"/>
        <v>26</v>
      </c>
      <c r="S8" s="26"/>
    </row>
    <row r="9" spans="1:19" ht="15.75" thickBot="1" x14ac:dyDescent="0.3">
      <c r="A9" s="2">
        <v>-3</v>
      </c>
      <c r="B9" s="2">
        <f t="shared" si="0"/>
        <v>117</v>
      </c>
      <c r="K9" s="23" t="s">
        <v>9</v>
      </c>
      <c r="L9" s="24"/>
      <c r="M9" s="24"/>
      <c r="N9" s="24"/>
      <c r="O9" s="24"/>
      <c r="P9" s="24"/>
      <c r="Q9" s="25"/>
      <c r="S9" s="26"/>
    </row>
    <row r="10" spans="1:19" x14ac:dyDescent="0.25">
      <c r="A10" s="2">
        <v>-2</v>
      </c>
      <c r="B10" s="2">
        <f t="shared" si="0"/>
        <v>162</v>
      </c>
      <c r="S10" s="26"/>
    </row>
    <row r="11" spans="1:19" ht="15.75" thickBot="1" x14ac:dyDescent="0.3">
      <c r="A11" s="2">
        <v>-1</v>
      </c>
      <c r="B11" s="2">
        <f t="shared" si="0"/>
        <v>149</v>
      </c>
      <c r="K11" s="3" t="s">
        <v>10</v>
      </c>
      <c r="L11" s="4">
        <f>L2-A2</f>
        <v>8</v>
      </c>
      <c r="S11" s="26"/>
    </row>
    <row r="12" spans="1:19" ht="15.75" thickBot="1" x14ac:dyDescent="0.3">
      <c r="A12" s="2">
        <v>0</v>
      </c>
      <c r="B12" s="2">
        <f t="shared" si="0"/>
        <v>90</v>
      </c>
      <c r="K12" s="23" t="s">
        <v>11</v>
      </c>
      <c r="L12" s="24"/>
      <c r="M12" s="24"/>
      <c r="N12" s="24"/>
      <c r="O12" s="24"/>
      <c r="P12" s="24"/>
      <c r="Q12" s="25"/>
      <c r="S12" s="26"/>
    </row>
    <row r="13" spans="1:19" x14ac:dyDescent="0.25">
      <c r="A13" s="2">
        <v>1</v>
      </c>
      <c r="B13" s="2">
        <f t="shared" si="0"/>
        <v>21</v>
      </c>
      <c r="S13" s="26"/>
    </row>
    <row r="14" spans="1:19" x14ac:dyDescent="0.25">
      <c r="A14" s="2">
        <v>2</v>
      </c>
      <c r="B14" s="2">
        <f t="shared" si="0"/>
        <v>2</v>
      </c>
      <c r="S14" s="26"/>
    </row>
    <row r="15" spans="1:19" x14ac:dyDescent="0.25">
      <c r="A15" s="2">
        <v>3</v>
      </c>
      <c r="B15" s="2">
        <f t="shared" si="0"/>
        <v>117</v>
      </c>
      <c r="S15" s="26"/>
    </row>
    <row r="16" spans="1:19" x14ac:dyDescent="0.25">
      <c r="A16" s="2">
        <v>4</v>
      </c>
      <c r="B16" s="2">
        <f t="shared" si="0"/>
        <v>474</v>
      </c>
      <c r="S16" s="26"/>
    </row>
    <row r="17" spans="1:19" x14ac:dyDescent="0.25">
      <c r="A17" s="2">
        <v>5</v>
      </c>
      <c r="B17" s="2">
        <f t="shared" si="0"/>
        <v>1205</v>
      </c>
      <c r="S17" s="26"/>
    </row>
    <row r="18" spans="1:19" x14ac:dyDescent="0.25">
      <c r="A18" s="2">
        <v>6</v>
      </c>
      <c r="B18" s="2">
        <f t="shared" si="0"/>
        <v>2466</v>
      </c>
      <c r="S18" s="26"/>
    </row>
    <row r="19" spans="1:19" x14ac:dyDescent="0.25">
      <c r="A19" s="2"/>
      <c r="B19" s="2"/>
      <c r="S19" s="26"/>
    </row>
    <row r="20" spans="1:19" s="7" customFormat="1" x14ac:dyDescent="0.25">
      <c r="A20" s="8"/>
      <c r="B20" s="8"/>
    </row>
    <row r="21" spans="1:19" ht="30" customHeight="1" x14ac:dyDescent="0.25">
      <c r="A21" s="1" t="s">
        <v>1</v>
      </c>
      <c r="B21" s="1" t="s">
        <v>0</v>
      </c>
      <c r="K21" s="3" t="s">
        <v>2</v>
      </c>
      <c r="L21" s="4">
        <f>A30-A22</f>
        <v>8</v>
      </c>
      <c r="S21" s="26" t="s">
        <v>18</v>
      </c>
    </row>
    <row r="22" spans="1:19" x14ac:dyDescent="0.25">
      <c r="A22" s="2">
        <v>-10</v>
      </c>
      <c r="B22" s="2">
        <f t="shared" ref="B22:B30" si="1">POWER(A22,4)+8*POWER(A22,3)-6*POWER(A22,2)-72*A22+90</f>
        <v>2210</v>
      </c>
      <c r="K22" s="3" t="s">
        <v>3</v>
      </c>
      <c r="L22" s="4">
        <f>(A30+A22)/2</f>
        <v>-6</v>
      </c>
      <c r="S22" s="26"/>
    </row>
    <row r="23" spans="1:19" x14ac:dyDescent="0.25">
      <c r="A23" s="2">
        <v>-9</v>
      </c>
      <c r="B23" s="2">
        <f t="shared" si="1"/>
        <v>981</v>
      </c>
      <c r="K23" s="3" t="s">
        <v>4</v>
      </c>
      <c r="L23" s="4">
        <f>POWER(L22,4)+8*POWER(L22,3)-6*POWER(L22,2)-72*L22+90</f>
        <v>-126</v>
      </c>
      <c r="S23" s="26"/>
    </row>
    <row r="24" spans="1:19" x14ac:dyDescent="0.25">
      <c r="A24" s="2">
        <v>-8</v>
      </c>
      <c r="B24" s="2">
        <f t="shared" si="1"/>
        <v>282</v>
      </c>
      <c r="K24" s="3" t="s">
        <v>5</v>
      </c>
      <c r="L24" s="4">
        <f>A22+L21/4</f>
        <v>-8</v>
      </c>
      <c r="S24" s="26"/>
    </row>
    <row r="25" spans="1:19" x14ac:dyDescent="0.25">
      <c r="A25" s="2">
        <v>-7</v>
      </c>
      <c r="B25" s="2">
        <f t="shared" si="1"/>
        <v>-43</v>
      </c>
      <c r="K25" s="3" t="s">
        <v>6</v>
      </c>
      <c r="L25" s="4">
        <f>A30-L21/4</f>
        <v>-4</v>
      </c>
      <c r="S25" s="26"/>
    </row>
    <row r="26" spans="1:19" x14ac:dyDescent="0.25">
      <c r="A26" s="2">
        <v>-6</v>
      </c>
      <c r="B26" s="2">
        <f t="shared" si="1"/>
        <v>-126</v>
      </c>
      <c r="K26" s="3" t="s">
        <v>7</v>
      </c>
      <c r="L26" s="4">
        <f>POWER(L24,4)+8*POWER(L24,3)-6*POWER(L24,2)-72*L24+90</f>
        <v>282</v>
      </c>
      <c r="S26" s="26"/>
    </row>
    <row r="27" spans="1:19" x14ac:dyDescent="0.25">
      <c r="A27" s="2">
        <v>-5</v>
      </c>
      <c r="B27" s="2">
        <f t="shared" si="1"/>
        <v>-75</v>
      </c>
      <c r="K27" s="3" t="s">
        <v>8</v>
      </c>
      <c r="L27" s="4">
        <f>POWER(L25,4)+8*POWER(L25,3)-6*POWER(L25,2)-72*L25+90</f>
        <v>26</v>
      </c>
      <c r="S27" s="26"/>
    </row>
    <row r="28" spans="1:19" ht="15.75" thickBot="1" x14ac:dyDescent="0.3">
      <c r="A28" s="2">
        <v>-4</v>
      </c>
      <c r="B28" s="2">
        <f t="shared" si="1"/>
        <v>26</v>
      </c>
      <c r="S28" s="26"/>
    </row>
    <row r="29" spans="1:19" ht="15.75" thickBot="1" x14ac:dyDescent="0.3">
      <c r="A29" s="2">
        <v>-3</v>
      </c>
      <c r="B29" s="2">
        <f t="shared" si="1"/>
        <v>117</v>
      </c>
      <c r="K29" s="23" t="s">
        <v>12</v>
      </c>
      <c r="L29" s="24"/>
      <c r="M29" s="24"/>
      <c r="N29" s="24"/>
      <c r="O29" s="24"/>
      <c r="P29" s="24"/>
      <c r="Q29" s="25"/>
      <c r="S29" s="26"/>
    </row>
    <row r="30" spans="1:19" x14ac:dyDescent="0.25">
      <c r="A30" s="2">
        <v>-2</v>
      </c>
      <c r="B30" s="2">
        <f t="shared" si="1"/>
        <v>162</v>
      </c>
      <c r="S30" s="26"/>
    </row>
    <row r="31" spans="1:19" ht="15.75" thickBot="1" x14ac:dyDescent="0.3">
      <c r="K31" s="3" t="s">
        <v>13</v>
      </c>
      <c r="L31" s="4">
        <f>L25-L24</f>
        <v>4</v>
      </c>
      <c r="S31" s="26"/>
    </row>
    <row r="32" spans="1:19" ht="15.75" thickBot="1" x14ac:dyDescent="0.3">
      <c r="K32" s="20" t="s">
        <v>14</v>
      </c>
      <c r="L32" s="21"/>
      <c r="M32" s="21"/>
      <c r="N32" s="21"/>
      <c r="O32" s="21"/>
      <c r="P32" s="21"/>
      <c r="Q32" s="22"/>
      <c r="S32" s="26"/>
    </row>
    <row r="33" spans="1:19" x14ac:dyDescent="0.25">
      <c r="S33" s="26"/>
    </row>
    <row r="34" spans="1:19" x14ac:dyDescent="0.25">
      <c r="S34" s="26"/>
    </row>
    <row r="35" spans="1:19" x14ac:dyDescent="0.25">
      <c r="S35" s="26"/>
    </row>
    <row r="36" spans="1:19" s="7" customFormat="1" x14ac:dyDescent="0.25"/>
    <row r="37" spans="1:19" ht="30" customHeight="1" x14ac:dyDescent="0.25">
      <c r="A37" s="1" t="s">
        <v>1</v>
      </c>
      <c r="B37" s="1" t="s">
        <v>0</v>
      </c>
      <c r="K37" s="3" t="s">
        <v>10</v>
      </c>
      <c r="L37" s="4">
        <f>A42-A38</f>
        <v>4</v>
      </c>
      <c r="S37" s="27" t="s">
        <v>19</v>
      </c>
    </row>
    <row r="38" spans="1:19" x14ac:dyDescent="0.25">
      <c r="A38" s="2">
        <v>-8</v>
      </c>
      <c r="B38" s="2">
        <f>POWER(A38,4)+8*POWER(A38,3)-6*POWER(A38,2)-72*A38+90</f>
        <v>282</v>
      </c>
      <c r="K38" s="3" t="s">
        <v>3</v>
      </c>
      <c r="L38" s="4">
        <f>(A38+A42)/2</f>
        <v>-6</v>
      </c>
      <c r="S38" s="27"/>
    </row>
    <row r="39" spans="1:19" x14ac:dyDescent="0.25">
      <c r="A39" s="2">
        <v>-7</v>
      </c>
      <c r="B39" s="2">
        <f>POWER(A39,4)+8*POWER(A39,3)-6*POWER(A39,2)-72*A39+90</f>
        <v>-43</v>
      </c>
      <c r="K39" s="3" t="s">
        <v>4</v>
      </c>
      <c r="L39" s="4">
        <f>POWER(L38,4)+8*POWER(L38,3)-6*POWER(L38,2)-72*L38+90</f>
        <v>-126</v>
      </c>
      <c r="S39" s="27"/>
    </row>
    <row r="40" spans="1:19" x14ac:dyDescent="0.25">
      <c r="A40" s="2">
        <v>-6</v>
      </c>
      <c r="B40" s="2">
        <f>POWER(A40,4)+8*POWER(A40,3)-6*POWER(A40,2)-72*A40+90</f>
        <v>-126</v>
      </c>
      <c r="K40" s="3" t="s">
        <v>16</v>
      </c>
      <c r="L40" s="4">
        <f>A38+L37/4</f>
        <v>-7</v>
      </c>
      <c r="S40" s="27"/>
    </row>
    <row r="41" spans="1:19" x14ac:dyDescent="0.25">
      <c r="A41" s="2">
        <v>-5</v>
      </c>
      <c r="B41" s="2">
        <f>POWER(A41,4)+8*POWER(A41,3)-6*POWER(A41,2)-72*A41+90</f>
        <v>-75</v>
      </c>
      <c r="K41" s="3" t="s">
        <v>6</v>
      </c>
      <c r="L41" s="4">
        <f>A42-L37/4</f>
        <v>-5</v>
      </c>
      <c r="S41" s="27"/>
    </row>
    <row r="42" spans="1:19" x14ac:dyDescent="0.25">
      <c r="A42" s="2">
        <v>-4</v>
      </c>
      <c r="B42" s="2">
        <f>POWER(A42,4)+8*POWER(A42,3)-6*POWER(A42,2)-72*A42+90</f>
        <v>26</v>
      </c>
      <c r="K42" s="3" t="s">
        <v>7</v>
      </c>
      <c r="L42" s="4">
        <f>POWER(L40,4)+8*POWER(L40,3)-6*POWER(L40,2)-72*L40+90</f>
        <v>-43</v>
      </c>
      <c r="S42" s="27"/>
    </row>
    <row r="43" spans="1:19" x14ac:dyDescent="0.25">
      <c r="A43" s="2"/>
      <c r="B43" s="2"/>
      <c r="K43" s="3" t="s">
        <v>8</v>
      </c>
      <c r="L43" s="4">
        <f>POWER(L41,4)+8*POWER(L41,3)-6*POWER(L41,2)-72*L41+90</f>
        <v>-75</v>
      </c>
      <c r="S43" s="27"/>
    </row>
    <row r="44" spans="1:19" ht="15.75" thickBot="1" x14ac:dyDescent="0.3">
      <c r="A44" s="2"/>
      <c r="B44" s="2"/>
      <c r="S44" s="27"/>
    </row>
    <row r="45" spans="1:19" ht="15.75" thickBot="1" x14ac:dyDescent="0.3">
      <c r="A45" s="2"/>
      <c r="B45" s="2"/>
      <c r="K45" s="23" t="s">
        <v>12</v>
      </c>
      <c r="L45" s="24"/>
      <c r="M45" s="24"/>
      <c r="N45" s="24"/>
      <c r="O45" s="24"/>
      <c r="P45" s="24"/>
      <c r="Q45" s="25"/>
      <c r="S45" s="27"/>
    </row>
    <row r="46" spans="1:19" x14ac:dyDescent="0.25">
      <c r="A46" s="2"/>
      <c r="B46" s="2"/>
      <c r="S46" s="27"/>
    </row>
    <row r="47" spans="1:19" ht="15.75" thickBot="1" x14ac:dyDescent="0.3">
      <c r="A47" s="2"/>
      <c r="B47" s="2"/>
      <c r="K47" s="3" t="s">
        <v>10</v>
      </c>
      <c r="L47" s="4">
        <f>L41-L40</f>
        <v>2</v>
      </c>
      <c r="S47" s="27"/>
    </row>
    <row r="48" spans="1:19" ht="15.75" thickBot="1" x14ac:dyDescent="0.3">
      <c r="A48" s="2"/>
      <c r="B48" s="2"/>
      <c r="K48" s="20" t="s">
        <v>14</v>
      </c>
      <c r="L48" s="21"/>
      <c r="M48" s="21"/>
      <c r="N48" s="21"/>
      <c r="O48" s="21"/>
      <c r="P48" s="21"/>
      <c r="Q48" s="22"/>
      <c r="S48" s="27"/>
    </row>
    <row r="49" spans="19:19" x14ac:dyDescent="0.25">
      <c r="S49" s="27"/>
    </row>
    <row r="50" spans="19:19" x14ac:dyDescent="0.25">
      <c r="S50" s="27"/>
    </row>
    <row r="51" spans="19:19" x14ac:dyDescent="0.25">
      <c r="S51" s="27"/>
    </row>
    <row r="52" spans="19:19" x14ac:dyDescent="0.25">
      <c r="S52" s="27"/>
    </row>
    <row r="53" spans="19:19" x14ac:dyDescent="0.25">
      <c r="S53" s="27"/>
    </row>
    <row r="54" spans="19:19" x14ac:dyDescent="0.25">
      <c r="S54" s="27"/>
    </row>
    <row r="55" spans="19:19" x14ac:dyDescent="0.25">
      <c r="S55" s="27"/>
    </row>
  </sheetData>
  <mergeCells count="9">
    <mergeCell ref="K48:Q48"/>
    <mergeCell ref="K9:Q9"/>
    <mergeCell ref="K12:Q12"/>
    <mergeCell ref="S1:S19"/>
    <mergeCell ref="S21:S35"/>
    <mergeCell ref="S37:S55"/>
    <mergeCell ref="K29:Q29"/>
    <mergeCell ref="K32:Q32"/>
    <mergeCell ref="K45:Q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DA57-1C13-42F7-B065-32BF7F0FC547}">
  <dimension ref="A1:H26"/>
  <sheetViews>
    <sheetView tabSelected="1" zoomScale="149" workbookViewId="0">
      <selection activeCell="F25" sqref="F25"/>
    </sheetView>
  </sheetViews>
  <sheetFormatPr defaultRowHeight="15" x14ac:dyDescent="0.25"/>
  <cols>
    <col min="1" max="2" width="27.42578125" customWidth="1"/>
    <col min="5" max="5" width="9.140625" style="9"/>
  </cols>
  <sheetData>
    <row r="1" spans="1:8" ht="30" customHeight="1" x14ac:dyDescent="0.25">
      <c r="A1" s="1" t="s">
        <v>1</v>
      </c>
      <c r="B1" s="1" t="s">
        <v>0</v>
      </c>
      <c r="D1" s="10" t="s">
        <v>20</v>
      </c>
      <c r="E1" s="11">
        <f>A2</f>
        <v>-10</v>
      </c>
    </row>
    <row r="2" spans="1:8" x14ac:dyDescent="0.25">
      <c r="A2" s="2">
        <v>-10</v>
      </c>
      <c r="B2" s="2">
        <f>POWER(A2,4)+8*POWER(A2,3)-6*POWER(A2,2)-72*A2+90</f>
        <v>2210</v>
      </c>
      <c r="D2" s="10" t="s">
        <v>21</v>
      </c>
      <c r="E2" s="11">
        <f>A18</f>
        <v>6</v>
      </c>
    </row>
    <row r="3" spans="1:8" x14ac:dyDescent="0.25">
      <c r="A3" s="2">
        <v>-9</v>
      </c>
      <c r="B3" s="2">
        <f t="shared" ref="B3:B18" si="0">POWER(A3,4)+8*POWER(A3,3)-6*POWER(A3,2)-72*A3+90</f>
        <v>981</v>
      </c>
      <c r="D3" s="10" t="s">
        <v>10</v>
      </c>
      <c r="E3" s="11">
        <f>E2-E1</f>
        <v>16</v>
      </c>
      <c r="G3" t="s">
        <v>24</v>
      </c>
      <c r="H3">
        <f>Числа_Фибоначчи!A13</f>
        <v>233</v>
      </c>
    </row>
    <row r="4" spans="1:8" x14ac:dyDescent="0.25">
      <c r="A4" s="2">
        <v>-8</v>
      </c>
      <c r="B4" s="2">
        <f t="shared" si="0"/>
        <v>282</v>
      </c>
      <c r="D4" s="10" t="s">
        <v>23</v>
      </c>
      <c r="E4" s="11">
        <f>E3/0.05</f>
        <v>320</v>
      </c>
      <c r="G4" t="s">
        <v>236</v>
      </c>
      <c r="H4">
        <f>Числа_Фибоначчи!A14</f>
        <v>377</v>
      </c>
    </row>
    <row r="5" spans="1:8" x14ac:dyDescent="0.25">
      <c r="A5" s="2">
        <v>-7</v>
      </c>
      <c r="B5" s="2">
        <f t="shared" si="0"/>
        <v>-43</v>
      </c>
      <c r="D5" s="12" t="s">
        <v>22</v>
      </c>
      <c r="E5" s="13">
        <v>14</v>
      </c>
    </row>
    <row r="6" spans="1:8" x14ac:dyDescent="0.25">
      <c r="A6" s="2">
        <v>-6</v>
      </c>
      <c r="B6" s="2">
        <f t="shared" si="0"/>
        <v>-126</v>
      </c>
      <c r="D6" s="12" t="s">
        <v>16</v>
      </c>
      <c r="E6" s="13">
        <f>E1+(Числа_Фибоначчи!A15/Числа_Фибоначчи!A17)*E3</f>
        <v>-3.8885410144020041</v>
      </c>
    </row>
    <row r="7" spans="1:8" x14ac:dyDescent="0.25">
      <c r="A7" s="2">
        <v>-5</v>
      </c>
      <c r="B7" s="2">
        <f t="shared" si="0"/>
        <v>-75</v>
      </c>
      <c r="D7" s="12" t="s">
        <v>6</v>
      </c>
      <c r="E7" s="13">
        <f>E1+(Числа_Фибоначчи!A16/Числа_Фибоначчи!A17)*E3</f>
        <v>-0.11145898559799683</v>
      </c>
    </row>
    <row r="8" spans="1:8" x14ac:dyDescent="0.25">
      <c r="A8" s="2">
        <v>-4</v>
      </c>
      <c r="B8" s="2">
        <f t="shared" si="0"/>
        <v>26</v>
      </c>
      <c r="D8" s="12" t="s">
        <v>7</v>
      </c>
      <c r="E8" s="13">
        <f>POWER(E6,4)+8*POWER(E6,3)-6*POWER(E6,2)-72*E6+90</f>
        <v>37.506272869048132</v>
      </c>
    </row>
    <row r="9" spans="1:8" x14ac:dyDescent="0.25">
      <c r="A9" s="2">
        <v>-3</v>
      </c>
      <c r="B9" s="2">
        <f t="shared" si="0"/>
        <v>117</v>
      </c>
      <c r="D9" s="12" t="s">
        <v>8</v>
      </c>
      <c r="E9" s="13">
        <f>POWER(E7,4)+8*POWER(E7,3)-6*POWER(E7,2)-72*E7+90</f>
        <v>97.939585329912319</v>
      </c>
    </row>
    <row r="10" spans="1:8" x14ac:dyDescent="0.25">
      <c r="A10" s="2">
        <v>-2</v>
      </c>
      <c r="B10" s="2">
        <f t="shared" si="0"/>
        <v>162</v>
      </c>
      <c r="D10" s="12" t="s">
        <v>21</v>
      </c>
      <c r="E10" s="13">
        <f>E7</f>
        <v>-0.11145898559799683</v>
      </c>
    </row>
    <row r="11" spans="1:8" x14ac:dyDescent="0.25">
      <c r="A11" s="2">
        <v>-1</v>
      </c>
      <c r="B11" s="2">
        <f t="shared" si="0"/>
        <v>149</v>
      </c>
      <c r="D11" s="12" t="s">
        <v>6</v>
      </c>
      <c r="E11" s="13">
        <f>E6</f>
        <v>-3.8885410144020041</v>
      </c>
    </row>
    <row r="12" spans="1:8" x14ac:dyDescent="0.25">
      <c r="A12" s="2">
        <v>0</v>
      </c>
      <c r="B12" s="2">
        <f t="shared" si="0"/>
        <v>90</v>
      </c>
      <c r="D12" s="14" t="s">
        <v>22</v>
      </c>
      <c r="E12" s="15">
        <f>E5-1</f>
        <v>13</v>
      </c>
    </row>
    <row r="13" spans="1:8" x14ac:dyDescent="0.25">
      <c r="A13" s="2">
        <v>1</v>
      </c>
      <c r="B13" s="2">
        <f t="shared" si="0"/>
        <v>21</v>
      </c>
      <c r="D13" s="14" t="s">
        <v>16</v>
      </c>
      <c r="E13" s="15">
        <f>E1+(Числа_Фибоначчи!A14/Числа_Фибоначчи!A16)*(E10-E1)</f>
        <v>-6.2229179711959928</v>
      </c>
    </row>
    <row r="14" spans="1:8" x14ac:dyDescent="0.25">
      <c r="A14" s="2">
        <v>2</v>
      </c>
      <c r="B14" s="2">
        <f t="shared" si="0"/>
        <v>2</v>
      </c>
      <c r="D14" s="14" t="s">
        <v>7</v>
      </c>
      <c r="E14" s="15">
        <f>POWER(E13,4)+8*POWER(E13,3)-6*POWER(E13,2)-72*E13+90</f>
        <v>-122.54059347706982</v>
      </c>
    </row>
    <row r="15" spans="1:8" x14ac:dyDescent="0.25">
      <c r="A15" s="2">
        <v>3</v>
      </c>
      <c r="B15" s="2">
        <f t="shared" si="0"/>
        <v>117</v>
      </c>
      <c r="D15" s="14" t="s">
        <v>21</v>
      </c>
      <c r="E15" s="15">
        <f>E11</f>
        <v>-3.8885410144020041</v>
      </c>
    </row>
    <row r="16" spans="1:8" x14ac:dyDescent="0.25">
      <c r="A16" s="2">
        <v>4</v>
      </c>
      <c r="B16" s="2">
        <f t="shared" si="0"/>
        <v>474</v>
      </c>
      <c r="D16" s="14" t="s">
        <v>6</v>
      </c>
      <c r="E16" s="15">
        <f>E13</f>
        <v>-6.2229179711959928</v>
      </c>
    </row>
    <row r="17" spans="1:5" x14ac:dyDescent="0.25">
      <c r="A17" s="2">
        <v>5</v>
      </c>
      <c r="B17" s="2">
        <f t="shared" si="0"/>
        <v>1205</v>
      </c>
      <c r="D17" s="16" t="s">
        <v>22</v>
      </c>
      <c r="E17" s="17">
        <f>E12-1</f>
        <v>12</v>
      </c>
    </row>
    <row r="18" spans="1:5" x14ac:dyDescent="0.25">
      <c r="A18" s="2">
        <v>6</v>
      </c>
      <c r="B18" s="2">
        <f t="shared" si="0"/>
        <v>2466</v>
      </c>
      <c r="D18" s="16" t="s">
        <v>16</v>
      </c>
      <c r="E18" s="17">
        <f>E1+(Числа_Фибоначчи!A13/Числа_Фибоначчи!A15)*(E15-E1)</f>
        <v>-7.6656230432060113</v>
      </c>
    </row>
    <row r="19" spans="1:5" x14ac:dyDescent="0.25">
      <c r="D19" s="16" t="s">
        <v>234</v>
      </c>
      <c r="E19" s="17">
        <f>POWER(E18,4)+8*POWER(E18,3)-6*POWER(E18,2)-72*E18+90</f>
        <v>138.73556061626778</v>
      </c>
    </row>
    <row r="20" spans="1:5" x14ac:dyDescent="0.25">
      <c r="D20" s="16" t="s">
        <v>20</v>
      </c>
      <c r="E20" s="17">
        <f>E18</f>
        <v>-7.6656230432060113</v>
      </c>
    </row>
    <row r="21" spans="1:5" x14ac:dyDescent="0.25">
      <c r="D21" s="16" t="s">
        <v>16</v>
      </c>
      <c r="E21" s="17">
        <f>E16</f>
        <v>-6.2229179711959928</v>
      </c>
    </row>
    <row r="22" spans="1:5" x14ac:dyDescent="0.25">
      <c r="D22" s="18" t="s">
        <v>22</v>
      </c>
      <c r="E22" s="19">
        <f>E17-1</f>
        <v>11</v>
      </c>
    </row>
    <row r="23" spans="1:5" x14ac:dyDescent="0.25">
      <c r="D23" s="18" t="s">
        <v>6</v>
      </c>
      <c r="E23" s="19">
        <f>E20+(Числа_Фибоначчи!A12/Числа_Фибоначчи!A13)*(E15-E20)</f>
        <v>-5.33128908549023</v>
      </c>
    </row>
    <row r="24" spans="1:5" x14ac:dyDescent="0.25">
      <c r="D24" s="18" t="s">
        <v>8</v>
      </c>
      <c r="E24" s="19">
        <f>POWER(E23,4)+8*POWER(E23,3)-6*POWER(E23,2)-72*E23+90</f>
        <v>-101.07101742715895</v>
      </c>
    </row>
    <row r="25" spans="1:5" x14ac:dyDescent="0.25">
      <c r="D25" s="18" t="s">
        <v>20</v>
      </c>
      <c r="E25" s="19">
        <f>E21</f>
        <v>-6.2229179711959928</v>
      </c>
    </row>
    <row r="26" spans="1:5" x14ac:dyDescent="0.25">
      <c r="D26" s="18" t="s">
        <v>16</v>
      </c>
      <c r="E26" s="19">
        <f>E23</f>
        <v>-5.33128908549023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B545-BAD4-4EEA-9DBB-82BDBA6EEAAE}">
  <dimension ref="A1:B210"/>
  <sheetViews>
    <sheetView workbookViewId="0">
      <selection activeCell="A50" sqref="A50"/>
    </sheetView>
  </sheetViews>
  <sheetFormatPr defaultRowHeight="15" x14ac:dyDescent="0.25"/>
  <cols>
    <col min="1" max="1" width="18.42578125" style="2" customWidth="1"/>
    <col min="2" max="2" width="18.140625" style="2" customWidth="1"/>
  </cols>
  <sheetData>
    <row r="1" spans="1:2" x14ac:dyDescent="0.25">
      <c r="A1" s="2">
        <v>1</v>
      </c>
      <c r="B1" s="2" t="s">
        <v>25</v>
      </c>
    </row>
    <row r="2" spans="1:2" x14ac:dyDescent="0.25">
      <c r="A2" s="2">
        <v>1</v>
      </c>
      <c r="B2" s="2" t="s">
        <v>26</v>
      </c>
    </row>
    <row r="3" spans="1:2" x14ac:dyDescent="0.25">
      <c r="A3" s="2">
        <f>A1+A2</f>
        <v>2</v>
      </c>
      <c r="B3" s="2" t="s">
        <v>27</v>
      </c>
    </row>
    <row r="4" spans="1:2" x14ac:dyDescent="0.25">
      <c r="A4" s="2">
        <f t="shared" ref="A4:A67" si="0">A2+A3</f>
        <v>3</v>
      </c>
      <c r="B4" s="2" t="s">
        <v>36</v>
      </c>
    </row>
    <row r="5" spans="1:2" x14ac:dyDescent="0.25">
      <c r="A5" s="2">
        <f t="shared" si="0"/>
        <v>5</v>
      </c>
      <c r="B5" s="2" t="s">
        <v>28</v>
      </c>
    </row>
    <row r="6" spans="1:2" x14ac:dyDescent="0.25">
      <c r="A6" s="2">
        <f t="shared" si="0"/>
        <v>8</v>
      </c>
      <c r="B6" s="2" t="s">
        <v>37</v>
      </c>
    </row>
    <row r="7" spans="1:2" x14ac:dyDescent="0.25">
      <c r="A7" s="2">
        <f t="shared" si="0"/>
        <v>13</v>
      </c>
      <c r="B7" s="2" t="s">
        <v>38</v>
      </c>
    </row>
    <row r="8" spans="1:2" x14ac:dyDescent="0.25">
      <c r="A8" s="2">
        <f t="shared" si="0"/>
        <v>21</v>
      </c>
      <c r="B8" s="2" t="s">
        <v>29</v>
      </c>
    </row>
    <row r="9" spans="1:2" x14ac:dyDescent="0.25">
      <c r="A9" s="2">
        <f t="shared" si="0"/>
        <v>34</v>
      </c>
      <c r="B9" s="2" t="s">
        <v>39</v>
      </c>
    </row>
    <row r="10" spans="1:2" x14ac:dyDescent="0.25">
      <c r="A10" s="2">
        <f t="shared" si="0"/>
        <v>55</v>
      </c>
      <c r="B10" s="2" t="s">
        <v>40</v>
      </c>
    </row>
    <row r="11" spans="1:2" x14ac:dyDescent="0.25">
      <c r="A11" s="2">
        <f t="shared" si="0"/>
        <v>89</v>
      </c>
      <c r="B11" s="2" t="s">
        <v>41</v>
      </c>
    </row>
    <row r="12" spans="1:2" x14ac:dyDescent="0.25">
      <c r="A12" s="2">
        <f t="shared" si="0"/>
        <v>144</v>
      </c>
      <c r="B12" s="2" t="s">
        <v>42</v>
      </c>
    </row>
    <row r="13" spans="1:2" x14ac:dyDescent="0.25">
      <c r="A13" s="2">
        <f t="shared" si="0"/>
        <v>233</v>
      </c>
      <c r="B13" s="2" t="s">
        <v>30</v>
      </c>
    </row>
    <row r="14" spans="1:2" x14ac:dyDescent="0.25">
      <c r="A14" s="2">
        <f>A12+A13</f>
        <v>377</v>
      </c>
      <c r="B14" s="2" t="s">
        <v>43</v>
      </c>
    </row>
    <row r="15" spans="1:2" x14ac:dyDescent="0.25">
      <c r="A15" s="2">
        <f t="shared" si="0"/>
        <v>610</v>
      </c>
      <c r="B15" s="2" t="s">
        <v>44</v>
      </c>
    </row>
    <row r="16" spans="1:2" x14ac:dyDescent="0.25">
      <c r="A16" s="2">
        <f t="shared" si="0"/>
        <v>987</v>
      </c>
      <c r="B16" s="2" t="s">
        <v>45</v>
      </c>
    </row>
    <row r="17" spans="1:2" x14ac:dyDescent="0.25">
      <c r="A17" s="2">
        <f t="shared" si="0"/>
        <v>1597</v>
      </c>
      <c r="B17" s="2" t="s">
        <v>46</v>
      </c>
    </row>
    <row r="18" spans="1:2" x14ac:dyDescent="0.25">
      <c r="A18" s="2">
        <f t="shared" si="0"/>
        <v>2584</v>
      </c>
      <c r="B18" s="2" t="s">
        <v>47</v>
      </c>
    </row>
    <row r="19" spans="1:2" x14ac:dyDescent="0.25">
      <c r="A19" s="2">
        <f t="shared" si="0"/>
        <v>4181</v>
      </c>
      <c r="B19" s="2" t="s">
        <v>48</v>
      </c>
    </row>
    <row r="20" spans="1:2" x14ac:dyDescent="0.25">
      <c r="A20" s="2">
        <f t="shared" si="0"/>
        <v>6765</v>
      </c>
      <c r="B20" s="2" t="s">
        <v>49</v>
      </c>
    </row>
    <row r="21" spans="1:2" x14ac:dyDescent="0.25">
      <c r="A21" s="2">
        <f t="shared" si="0"/>
        <v>10946</v>
      </c>
      <c r="B21" s="2" t="s">
        <v>31</v>
      </c>
    </row>
    <row r="22" spans="1:2" x14ac:dyDescent="0.25">
      <c r="A22" s="2">
        <f t="shared" si="0"/>
        <v>17711</v>
      </c>
      <c r="B22" s="2" t="s">
        <v>50</v>
      </c>
    </row>
    <row r="23" spans="1:2" x14ac:dyDescent="0.25">
      <c r="A23" s="2">
        <f t="shared" si="0"/>
        <v>28657</v>
      </c>
      <c r="B23" s="2" t="s">
        <v>51</v>
      </c>
    </row>
    <row r="24" spans="1:2" x14ac:dyDescent="0.25">
      <c r="A24" s="2">
        <f t="shared" si="0"/>
        <v>46368</v>
      </c>
      <c r="B24" s="2" t="s">
        <v>52</v>
      </c>
    </row>
    <row r="25" spans="1:2" x14ac:dyDescent="0.25">
      <c r="A25" s="2">
        <f t="shared" si="0"/>
        <v>75025</v>
      </c>
      <c r="B25" s="2" t="s">
        <v>53</v>
      </c>
    </row>
    <row r="26" spans="1:2" x14ac:dyDescent="0.25">
      <c r="A26" s="2">
        <f t="shared" si="0"/>
        <v>121393</v>
      </c>
      <c r="B26" s="2" t="s">
        <v>54</v>
      </c>
    </row>
    <row r="27" spans="1:2" x14ac:dyDescent="0.25">
      <c r="A27" s="2">
        <f t="shared" si="0"/>
        <v>196418</v>
      </c>
      <c r="B27" s="2" t="s">
        <v>55</v>
      </c>
    </row>
    <row r="28" spans="1:2" x14ac:dyDescent="0.25">
      <c r="A28" s="2">
        <f t="shared" si="0"/>
        <v>317811</v>
      </c>
      <c r="B28" s="2" t="s">
        <v>56</v>
      </c>
    </row>
    <row r="29" spans="1:2" x14ac:dyDescent="0.25">
      <c r="A29" s="2">
        <f t="shared" si="0"/>
        <v>514229</v>
      </c>
      <c r="B29" s="2" t="s">
        <v>57</v>
      </c>
    </row>
    <row r="30" spans="1:2" x14ac:dyDescent="0.25">
      <c r="A30" s="2">
        <f t="shared" si="0"/>
        <v>832040</v>
      </c>
      <c r="B30" s="2" t="s">
        <v>58</v>
      </c>
    </row>
    <row r="31" spans="1:2" x14ac:dyDescent="0.25">
      <c r="A31" s="2">
        <f t="shared" si="0"/>
        <v>1346269</v>
      </c>
      <c r="B31" s="2" t="s">
        <v>59</v>
      </c>
    </row>
    <row r="32" spans="1:2" x14ac:dyDescent="0.25">
      <c r="A32" s="2">
        <f t="shared" si="0"/>
        <v>2178309</v>
      </c>
      <c r="B32" s="2" t="s">
        <v>60</v>
      </c>
    </row>
    <row r="33" spans="1:2" x14ac:dyDescent="0.25">
      <c r="A33" s="2">
        <f t="shared" si="0"/>
        <v>3524578</v>
      </c>
      <c r="B33" s="2" t="s">
        <v>61</v>
      </c>
    </row>
    <row r="34" spans="1:2" x14ac:dyDescent="0.25">
      <c r="A34" s="2">
        <f t="shared" si="0"/>
        <v>5702887</v>
      </c>
      <c r="B34" s="2" t="s">
        <v>32</v>
      </c>
    </row>
    <row r="35" spans="1:2" x14ac:dyDescent="0.25">
      <c r="A35" s="2">
        <f t="shared" si="0"/>
        <v>9227465</v>
      </c>
      <c r="B35" s="2" t="s">
        <v>62</v>
      </c>
    </row>
    <row r="36" spans="1:2" x14ac:dyDescent="0.25">
      <c r="A36" s="2">
        <f t="shared" si="0"/>
        <v>14930352</v>
      </c>
      <c r="B36" s="2" t="s">
        <v>63</v>
      </c>
    </row>
    <row r="37" spans="1:2" x14ac:dyDescent="0.25">
      <c r="A37" s="2">
        <f t="shared" si="0"/>
        <v>24157817</v>
      </c>
      <c r="B37" s="2" t="s">
        <v>64</v>
      </c>
    </row>
    <row r="38" spans="1:2" x14ac:dyDescent="0.25">
      <c r="A38" s="2">
        <f t="shared" si="0"/>
        <v>39088169</v>
      </c>
      <c r="B38" s="2" t="s">
        <v>65</v>
      </c>
    </row>
    <row r="39" spans="1:2" x14ac:dyDescent="0.25">
      <c r="A39" s="2">
        <f t="shared" si="0"/>
        <v>63245986</v>
      </c>
      <c r="B39" s="2" t="s">
        <v>66</v>
      </c>
    </row>
    <row r="40" spans="1:2" x14ac:dyDescent="0.25">
      <c r="A40" s="2">
        <f t="shared" si="0"/>
        <v>102334155</v>
      </c>
      <c r="B40" s="2" t="s">
        <v>67</v>
      </c>
    </row>
    <row r="41" spans="1:2" x14ac:dyDescent="0.25">
      <c r="A41" s="2">
        <f t="shared" si="0"/>
        <v>165580141</v>
      </c>
      <c r="B41" s="2" t="s">
        <v>68</v>
      </c>
    </row>
    <row r="42" spans="1:2" x14ac:dyDescent="0.25">
      <c r="A42" s="2">
        <f t="shared" si="0"/>
        <v>267914296</v>
      </c>
      <c r="B42" s="2" t="s">
        <v>69</v>
      </c>
    </row>
    <row r="43" spans="1:2" x14ac:dyDescent="0.25">
      <c r="A43" s="2">
        <f t="shared" si="0"/>
        <v>433494437</v>
      </c>
      <c r="B43" s="2" t="s">
        <v>70</v>
      </c>
    </row>
    <row r="44" spans="1:2" x14ac:dyDescent="0.25">
      <c r="A44" s="2">
        <f t="shared" si="0"/>
        <v>701408733</v>
      </c>
      <c r="B44" s="2" t="s">
        <v>71</v>
      </c>
    </row>
    <row r="45" spans="1:2" x14ac:dyDescent="0.25">
      <c r="A45" s="2">
        <f t="shared" si="0"/>
        <v>1134903170</v>
      </c>
      <c r="B45" s="2" t="s">
        <v>72</v>
      </c>
    </row>
    <row r="46" spans="1:2" x14ac:dyDescent="0.25">
      <c r="A46" s="2">
        <f t="shared" si="0"/>
        <v>1836311903</v>
      </c>
      <c r="B46" s="2" t="s">
        <v>73</v>
      </c>
    </row>
    <row r="47" spans="1:2" x14ac:dyDescent="0.25">
      <c r="A47" s="2">
        <f t="shared" si="0"/>
        <v>2971215073</v>
      </c>
      <c r="B47" s="2" t="s">
        <v>74</v>
      </c>
    </row>
    <row r="48" spans="1:2" x14ac:dyDescent="0.25">
      <c r="A48" s="2">
        <f t="shared" si="0"/>
        <v>4807526976</v>
      </c>
      <c r="B48" s="2" t="s">
        <v>75</v>
      </c>
    </row>
    <row r="49" spans="1:2" x14ac:dyDescent="0.25">
      <c r="A49" s="2">
        <f t="shared" si="0"/>
        <v>7778742049</v>
      </c>
      <c r="B49" s="2" t="s">
        <v>76</v>
      </c>
    </row>
    <row r="50" spans="1:2" x14ac:dyDescent="0.25">
      <c r="A50" s="2">
        <f t="shared" si="0"/>
        <v>12586269025</v>
      </c>
      <c r="B50" s="2" t="s">
        <v>77</v>
      </c>
    </row>
    <row r="51" spans="1:2" x14ac:dyDescent="0.25">
      <c r="A51" s="2">
        <f t="shared" si="0"/>
        <v>20365011074</v>
      </c>
      <c r="B51" s="2" t="s">
        <v>78</v>
      </c>
    </row>
    <row r="52" spans="1:2" x14ac:dyDescent="0.25">
      <c r="A52" s="2">
        <f t="shared" si="0"/>
        <v>32951280099</v>
      </c>
      <c r="B52" s="2" t="s">
        <v>79</v>
      </c>
    </row>
    <row r="53" spans="1:2" x14ac:dyDescent="0.25">
      <c r="A53" s="2">
        <f t="shared" si="0"/>
        <v>53316291173</v>
      </c>
      <c r="B53" s="2" t="s">
        <v>80</v>
      </c>
    </row>
    <row r="54" spans="1:2" x14ac:dyDescent="0.25">
      <c r="A54" s="2">
        <f t="shared" si="0"/>
        <v>86267571272</v>
      </c>
      <c r="B54" s="2" t="s">
        <v>81</v>
      </c>
    </row>
    <row r="55" spans="1:2" x14ac:dyDescent="0.25">
      <c r="A55" s="2">
        <f t="shared" si="0"/>
        <v>139583862445</v>
      </c>
      <c r="B55" s="2" t="s">
        <v>33</v>
      </c>
    </row>
    <row r="56" spans="1:2" x14ac:dyDescent="0.25">
      <c r="A56" s="2">
        <f t="shared" si="0"/>
        <v>225851433717</v>
      </c>
      <c r="B56" s="2" t="s">
        <v>82</v>
      </c>
    </row>
    <row r="57" spans="1:2" x14ac:dyDescent="0.25">
      <c r="A57" s="2">
        <f t="shared" si="0"/>
        <v>365435296162</v>
      </c>
      <c r="B57" s="2" t="s">
        <v>83</v>
      </c>
    </row>
    <row r="58" spans="1:2" x14ac:dyDescent="0.25">
      <c r="A58" s="2">
        <f t="shared" si="0"/>
        <v>591286729879</v>
      </c>
      <c r="B58" s="2" t="s">
        <v>84</v>
      </c>
    </row>
    <row r="59" spans="1:2" x14ac:dyDescent="0.25">
      <c r="A59" s="2">
        <f t="shared" si="0"/>
        <v>956722026041</v>
      </c>
      <c r="B59" s="2" t="s">
        <v>85</v>
      </c>
    </row>
    <row r="60" spans="1:2" x14ac:dyDescent="0.25">
      <c r="A60" s="2">
        <f t="shared" si="0"/>
        <v>1548008755920</v>
      </c>
      <c r="B60" s="2" t="s">
        <v>86</v>
      </c>
    </row>
    <row r="61" spans="1:2" x14ac:dyDescent="0.25">
      <c r="A61" s="2">
        <f t="shared" si="0"/>
        <v>2504730781961</v>
      </c>
      <c r="B61" s="2" t="s">
        <v>87</v>
      </c>
    </row>
    <row r="62" spans="1:2" x14ac:dyDescent="0.25">
      <c r="A62" s="2">
        <f t="shared" si="0"/>
        <v>4052739537881</v>
      </c>
      <c r="B62" s="2" t="s">
        <v>88</v>
      </c>
    </row>
    <row r="63" spans="1:2" x14ac:dyDescent="0.25">
      <c r="A63" s="2">
        <f t="shared" si="0"/>
        <v>6557470319842</v>
      </c>
      <c r="B63" s="2" t="s">
        <v>89</v>
      </c>
    </row>
    <row r="64" spans="1:2" x14ac:dyDescent="0.25">
      <c r="A64" s="2">
        <f t="shared" si="0"/>
        <v>10610209857723</v>
      </c>
      <c r="B64" s="2" t="s">
        <v>90</v>
      </c>
    </row>
    <row r="65" spans="1:2" x14ac:dyDescent="0.25">
      <c r="A65" s="2">
        <f t="shared" si="0"/>
        <v>17167680177565</v>
      </c>
      <c r="B65" s="2" t="s">
        <v>91</v>
      </c>
    </row>
    <row r="66" spans="1:2" x14ac:dyDescent="0.25">
      <c r="A66" s="2">
        <f t="shared" si="0"/>
        <v>27777890035288</v>
      </c>
      <c r="B66" s="2" t="s">
        <v>92</v>
      </c>
    </row>
    <row r="67" spans="1:2" x14ac:dyDescent="0.25">
      <c r="A67" s="2">
        <f t="shared" si="0"/>
        <v>44945570212853</v>
      </c>
      <c r="B67" s="2" t="s">
        <v>93</v>
      </c>
    </row>
    <row r="68" spans="1:2" x14ac:dyDescent="0.25">
      <c r="A68" s="2">
        <f t="shared" ref="A68:A131" si="1">A66+A67</f>
        <v>72723460248141</v>
      </c>
      <c r="B68" s="2" t="s">
        <v>94</v>
      </c>
    </row>
    <row r="69" spans="1:2" x14ac:dyDescent="0.25">
      <c r="A69" s="2">
        <f t="shared" si="1"/>
        <v>117669030460994</v>
      </c>
      <c r="B69" s="2" t="s">
        <v>95</v>
      </c>
    </row>
    <row r="70" spans="1:2" x14ac:dyDescent="0.25">
      <c r="A70" s="2">
        <f t="shared" si="1"/>
        <v>190392490709135</v>
      </c>
      <c r="B70" s="2" t="s">
        <v>96</v>
      </c>
    </row>
    <row r="71" spans="1:2" x14ac:dyDescent="0.25">
      <c r="A71" s="2">
        <f t="shared" si="1"/>
        <v>308061521170129</v>
      </c>
      <c r="B71" s="2" t="s">
        <v>97</v>
      </c>
    </row>
    <row r="72" spans="1:2" x14ac:dyDescent="0.25">
      <c r="A72" s="2">
        <f t="shared" si="1"/>
        <v>498454011879264</v>
      </c>
      <c r="B72" s="2" t="s">
        <v>98</v>
      </c>
    </row>
    <row r="73" spans="1:2" x14ac:dyDescent="0.25">
      <c r="A73" s="2">
        <f t="shared" si="1"/>
        <v>806515533049393</v>
      </c>
      <c r="B73" s="2" t="s">
        <v>99</v>
      </c>
    </row>
    <row r="74" spans="1:2" x14ac:dyDescent="0.25">
      <c r="A74" s="2">
        <f t="shared" si="1"/>
        <v>1304969544928657</v>
      </c>
      <c r="B74" s="2" t="s">
        <v>100</v>
      </c>
    </row>
    <row r="75" spans="1:2" x14ac:dyDescent="0.25">
      <c r="A75" s="2">
        <f t="shared" si="1"/>
        <v>2111485077978050</v>
      </c>
      <c r="B75" s="2" t="s">
        <v>101</v>
      </c>
    </row>
    <row r="76" spans="1:2" x14ac:dyDescent="0.25">
      <c r="A76" s="2">
        <f t="shared" si="1"/>
        <v>3416454622906707</v>
      </c>
      <c r="B76" s="2" t="s">
        <v>102</v>
      </c>
    </row>
    <row r="77" spans="1:2" x14ac:dyDescent="0.25">
      <c r="A77" s="2">
        <f t="shared" si="1"/>
        <v>5527939700884757</v>
      </c>
      <c r="B77" s="2" t="s">
        <v>103</v>
      </c>
    </row>
    <row r="78" spans="1:2" x14ac:dyDescent="0.25">
      <c r="A78" s="2">
        <f t="shared" si="1"/>
        <v>8944394323791464</v>
      </c>
      <c r="B78" s="2" t="s">
        <v>104</v>
      </c>
    </row>
    <row r="79" spans="1:2" x14ac:dyDescent="0.25">
      <c r="A79" s="2">
        <f t="shared" si="1"/>
        <v>1.447233402467622E+16</v>
      </c>
      <c r="B79" s="2" t="s">
        <v>105</v>
      </c>
    </row>
    <row r="80" spans="1:2" x14ac:dyDescent="0.25">
      <c r="A80" s="2">
        <f t="shared" si="1"/>
        <v>2.3416728348467684E+16</v>
      </c>
      <c r="B80" s="2" t="s">
        <v>106</v>
      </c>
    </row>
    <row r="81" spans="1:2" x14ac:dyDescent="0.25">
      <c r="A81" s="2">
        <f t="shared" si="1"/>
        <v>3.7889062373143904E+16</v>
      </c>
      <c r="B81" s="2" t="s">
        <v>107</v>
      </c>
    </row>
    <row r="82" spans="1:2" x14ac:dyDescent="0.25">
      <c r="A82" s="2">
        <f t="shared" si="1"/>
        <v>6.1305790721611584E+16</v>
      </c>
      <c r="B82" s="2" t="s">
        <v>108</v>
      </c>
    </row>
    <row r="83" spans="1:2" x14ac:dyDescent="0.25">
      <c r="A83" s="2">
        <f t="shared" si="1"/>
        <v>9.9194853094755488E+16</v>
      </c>
      <c r="B83" s="2" t="s">
        <v>109</v>
      </c>
    </row>
    <row r="84" spans="1:2" x14ac:dyDescent="0.25">
      <c r="A84" s="2">
        <f t="shared" si="1"/>
        <v>1.6050064381636707E+17</v>
      </c>
      <c r="B84" s="2" t="s">
        <v>110</v>
      </c>
    </row>
    <row r="85" spans="1:2" x14ac:dyDescent="0.25">
      <c r="A85" s="2">
        <f t="shared" si="1"/>
        <v>2.5969549691112256E+17</v>
      </c>
      <c r="B85" s="2" t="s">
        <v>111</v>
      </c>
    </row>
    <row r="86" spans="1:2" x14ac:dyDescent="0.25">
      <c r="A86" s="2">
        <f t="shared" si="1"/>
        <v>4.2019614072748966E+17</v>
      </c>
      <c r="B86" s="2" t="s">
        <v>112</v>
      </c>
    </row>
    <row r="87" spans="1:2" x14ac:dyDescent="0.25">
      <c r="A87" s="2">
        <f t="shared" si="1"/>
        <v>6.7989163763861222E+17</v>
      </c>
      <c r="B87" s="2" t="s">
        <v>113</v>
      </c>
    </row>
    <row r="88" spans="1:2" x14ac:dyDescent="0.25">
      <c r="A88" s="2">
        <f t="shared" si="1"/>
        <v>1.1000877783661019E+18</v>
      </c>
      <c r="B88" s="2" t="s">
        <v>114</v>
      </c>
    </row>
    <row r="89" spans="1:2" x14ac:dyDescent="0.25">
      <c r="A89" s="2">
        <f t="shared" si="1"/>
        <v>1.779979416004714E+18</v>
      </c>
      <c r="B89" s="2" t="s">
        <v>34</v>
      </c>
    </row>
    <row r="90" spans="1:2" x14ac:dyDescent="0.25">
      <c r="A90" s="2">
        <f t="shared" si="1"/>
        <v>2.880067194370816E+18</v>
      </c>
      <c r="B90" s="2" t="s">
        <v>115</v>
      </c>
    </row>
    <row r="91" spans="1:2" x14ac:dyDescent="0.25">
      <c r="A91" s="2">
        <f t="shared" si="1"/>
        <v>4.6600466103755305E+18</v>
      </c>
      <c r="B91" s="2" t="s">
        <v>116</v>
      </c>
    </row>
    <row r="92" spans="1:2" x14ac:dyDescent="0.25">
      <c r="A92" s="2">
        <f t="shared" si="1"/>
        <v>7.5401138047463465E+18</v>
      </c>
      <c r="B92" s="2" t="s">
        <v>117</v>
      </c>
    </row>
    <row r="93" spans="1:2" x14ac:dyDescent="0.25">
      <c r="A93" s="2">
        <f t="shared" si="1"/>
        <v>1.2200160415121877E+19</v>
      </c>
      <c r="B93" s="2" t="s">
        <v>118</v>
      </c>
    </row>
    <row r="94" spans="1:2" x14ac:dyDescent="0.25">
      <c r="A94" s="2">
        <f t="shared" si="1"/>
        <v>1.9740274219868226E+19</v>
      </c>
      <c r="B94" s="2" t="s">
        <v>119</v>
      </c>
    </row>
    <row r="95" spans="1:2" x14ac:dyDescent="0.25">
      <c r="A95" s="2">
        <f t="shared" si="1"/>
        <v>3.19404346349901E+19</v>
      </c>
      <c r="B95" s="2" t="s">
        <v>120</v>
      </c>
    </row>
    <row r="96" spans="1:2" x14ac:dyDescent="0.25">
      <c r="A96" s="2">
        <f t="shared" si="1"/>
        <v>5.1680708854858326E+19</v>
      </c>
      <c r="B96" s="2" t="s">
        <v>121</v>
      </c>
    </row>
    <row r="97" spans="1:2" x14ac:dyDescent="0.25">
      <c r="A97" s="2">
        <f t="shared" si="1"/>
        <v>8.3621143489848426E+19</v>
      </c>
      <c r="B97" s="2" t="s">
        <v>122</v>
      </c>
    </row>
    <row r="98" spans="1:2" x14ac:dyDescent="0.25">
      <c r="A98" s="2">
        <f t="shared" si="1"/>
        <v>1.3530185234470676E+20</v>
      </c>
      <c r="B98" s="2" t="s">
        <v>123</v>
      </c>
    </row>
    <row r="99" spans="1:2" x14ac:dyDescent="0.25">
      <c r="A99" s="2">
        <f t="shared" si="1"/>
        <v>2.189229958345552E+20</v>
      </c>
      <c r="B99" s="2" t="s">
        <v>124</v>
      </c>
    </row>
    <row r="100" spans="1:2" x14ac:dyDescent="0.25">
      <c r="A100" s="2">
        <f t="shared" si="1"/>
        <v>3.54224848179262E+20</v>
      </c>
      <c r="B100" s="2" t="s">
        <v>125</v>
      </c>
    </row>
    <row r="101" spans="1:2" x14ac:dyDescent="0.25">
      <c r="A101" s="2">
        <f t="shared" si="1"/>
        <v>5.731478440138172E+20</v>
      </c>
      <c r="B101" s="2" t="s">
        <v>126</v>
      </c>
    </row>
    <row r="102" spans="1:2" x14ac:dyDescent="0.25">
      <c r="A102" s="2">
        <f t="shared" si="1"/>
        <v>9.273726921930792E+20</v>
      </c>
      <c r="B102" s="2" t="s">
        <v>127</v>
      </c>
    </row>
    <row r="103" spans="1:2" x14ac:dyDescent="0.25">
      <c r="A103" s="2">
        <f t="shared" si="1"/>
        <v>1.5005205362068963E+21</v>
      </c>
      <c r="B103" s="2" t="s">
        <v>128</v>
      </c>
    </row>
    <row r="104" spans="1:2" x14ac:dyDescent="0.25">
      <c r="A104" s="2">
        <f t="shared" si="1"/>
        <v>2.4278932283999755E+21</v>
      </c>
      <c r="B104" s="2" t="s">
        <v>129</v>
      </c>
    </row>
    <row r="105" spans="1:2" x14ac:dyDescent="0.25">
      <c r="A105" s="2">
        <f t="shared" si="1"/>
        <v>3.9284137646068717E+21</v>
      </c>
      <c r="B105" s="2" t="s">
        <v>130</v>
      </c>
    </row>
    <row r="106" spans="1:2" x14ac:dyDescent="0.25">
      <c r="A106" s="2">
        <f t="shared" si="1"/>
        <v>6.3563069930068477E+21</v>
      </c>
      <c r="B106" s="2" t="s">
        <v>131</v>
      </c>
    </row>
    <row r="107" spans="1:2" x14ac:dyDescent="0.25">
      <c r="A107" s="2">
        <f t="shared" si="1"/>
        <v>1.028472075761372E+22</v>
      </c>
      <c r="B107" s="2" t="s">
        <v>132</v>
      </c>
    </row>
    <row r="108" spans="1:2" x14ac:dyDescent="0.25">
      <c r="A108" s="2">
        <f t="shared" si="1"/>
        <v>1.6641027750620568E+22</v>
      </c>
      <c r="B108" s="2" t="s">
        <v>133</v>
      </c>
    </row>
    <row r="109" spans="1:2" x14ac:dyDescent="0.25">
      <c r="A109" s="2">
        <f t="shared" si="1"/>
        <v>2.6925748508234288E+22</v>
      </c>
      <c r="B109" s="2" t="s">
        <v>134</v>
      </c>
    </row>
    <row r="110" spans="1:2" x14ac:dyDescent="0.25">
      <c r="A110" s="2">
        <f t="shared" si="1"/>
        <v>4.3566776258854857E+22</v>
      </c>
      <c r="B110" s="2" t="s">
        <v>135</v>
      </c>
    </row>
    <row r="111" spans="1:2" x14ac:dyDescent="0.25">
      <c r="A111" s="2">
        <f t="shared" si="1"/>
        <v>7.0492524767089141E+22</v>
      </c>
      <c r="B111" s="2" t="s">
        <v>136</v>
      </c>
    </row>
    <row r="112" spans="1:2" x14ac:dyDescent="0.25">
      <c r="A112" s="2">
        <f t="shared" si="1"/>
        <v>1.1405930102594401E+23</v>
      </c>
      <c r="B112" s="2" t="s">
        <v>137</v>
      </c>
    </row>
    <row r="113" spans="1:2" x14ac:dyDescent="0.25">
      <c r="A113" s="2">
        <f t="shared" si="1"/>
        <v>1.8455182579303315E+23</v>
      </c>
      <c r="B113" s="2" t="s">
        <v>138</v>
      </c>
    </row>
    <row r="114" spans="1:2" x14ac:dyDescent="0.25">
      <c r="A114" s="2">
        <f t="shared" si="1"/>
        <v>2.9861112681897715E+23</v>
      </c>
      <c r="B114" s="2" t="s">
        <v>139</v>
      </c>
    </row>
    <row r="115" spans="1:2" x14ac:dyDescent="0.25">
      <c r="A115" s="2">
        <f t="shared" si="1"/>
        <v>4.831629526120103E+23</v>
      </c>
      <c r="B115" s="2" t="s">
        <v>140</v>
      </c>
    </row>
    <row r="116" spans="1:2" x14ac:dyDescent="0.25">
      <c r="A116" s="2">
        <f t="shared" si="1"/>
        <v>7.8177407943098749E+23</v>
      </c>
      <c r="B116" s="2" t="s">
        <v>141</v>
      </c>
    </row>
    <row r="117" spans="1:2" x14ac:dyDescent="0.25">
      <c r="A117" s="2">
        <f t="shared" si="1"/>
        <v>1.2649370320429978E+24</v>
      </c>
      <c r="B117" s="2" t="s">
        <v>142</v>
      </c>
    </row>
    <row r="118" spans="1:2" x14ac:dyDescent="0.25">
      <c r="A118" s="2">
        <f t="shared" si="1"/>
        <v>2.0467111114739851E+24</v>
      </c>
      <c r="B118" s="2" t="s">
        <v>143</v>
      </c>
    </row>
    <row r="119" spans="1:2" x14ac:dyDescent="0.25">
      <c r="A119" s="2">
        <f t="shared" si="1"/>
        <v>3.3116481435169827E+24</v>
      </c>
      <c r="B119" s="2" t="s">
        <v>144</v>
      </c>
    </row>
    <row r="120" spans="1:2" x14ac:dyDescent="0.25">
      <c r="A120" s="2">
        <f t="shared" si="1"/>
        <v>5.3583592549909684E+24</v>
      </c>
      <c r="B120" s="2" t="s">
        <v>145</v>
      </c>
    </row>
    <row r="121" spans="1:2" x14ac:dyDescent="0.25">
      <c r="A121" s="2">
        <f t="shared" si="1"/>
        <v>8.670007398507951E+24</v>
      </c>
      <c r="B121" s="2" t="s">
        <v>146</v>
      </c>
    </row>
    <row r="122" spans="1:2" x14ac:dyDescent="0.25">
      <c r="A122" s="2">
        <f t="shared" si="1"/>
        <v>1.4028366653498919E+25</v>
      </c>
      <c r="B122" s="2" t="s">
        <v>147</v>
      </c>
    </row>
    <row r="123" spans="1:2" x14ac:dyDescent="0.25">
      <c r="A123" s="2">
        <f t="shared" si="1"/>
        <v>2.2698374052006868E+25</v>
      </c>
      <c r="B123" s="2" t="s">
        <v>148</v>
      </c>
    </row>
    <row r="124" spans="1:2" x14ac:dyDescent="0.25">
      <c r="A124" s="2">
        <f t="shared" si="1"/>
        <v>3.6726740705505786E+25</v>
      </c>
      <c r="B124" s="2" t="s">
        <v>149</v>
      </c>
    </row>
    <row r="125" spans="1:2" x14ac:dyDescent="0.25">
      <c r="A125" s="2">
        <f t="shared" si="1"/>
        <v>5.9425114757512654E+25</v>
      </c>
      <c r="B125" s="2" t="s">
        <v>150</v>
      </c>
    </row>
    <row r="126" spans="1:2" x14ac:dyDescent="0.25">
      <c r="A126" s="2">
        <f t="shared" si="1"/>
        <v>9.6151855463018439E+25</v>
      </c>
      <c r="B126" s="2" t="s">
        <v>151</v>
      </c>
    </row>
    <row r="127" spans="1:2" x14ac:dyDescent="0.25">
      <c r="A127" s="2">
        <f t="shared" si="1"/>
        <v>1.5557697022053108E+26</v>
      </c>
      <c r="B127" s="2" t="s">
        <v>152</v>
      </c>
    </row>
    <row r="128" spans="1:2" x14ac:dyDescent="0.25">
      <c r="A128" s="2">
        <f t="shared" si="1"/>
        <v>2.5172882568354952E+26</v>
      </c>
      <c r="B128" s="2" t="s">
        <v>153</v>
      </c>
    </row>
    <row r="129" spans="1:2" x14ac:dyDescent="0.25">
      <c r="A129" s="2">
        <f t="shared" si="1"/>
        <v>4.0730579590408064E+26</v>
      </c>
      <c r="B129" s="2" t="s">
        <v>154</v>
      </c>
    </row>
    <row r="130" spans="1:2" x14ac:dyDescent="0.25">
      <c r="A130" s="2">
        <f t="shared" si="1"/>
        <v>6.590346215876301E+26</v>
      </c>
      <c r="B130" s="2" t="s">
        <v>155</v>
      </c>
    </row>
    <row r="131" spans="1:2" x14ac:dyDescent="0.25">
      <c r="A131" s="2">
        <f t="shared" si="1"/>
        <v>1.0663404174917107E+27</v>
      </c>
      <c r="B131" s="2" t="s">
        <v>156</v>
      </c>
    </row>
    <row r="132" spans="1:2" x14ac:dyDescent="0.25">
      <c r="A132" s="2">
        <f t="shared" ref="A132:A195" si="2">A130+A131</f>
        <v>1.7253750390793408E+27</v>
      </c>
      <c r="B132" s="2" t="s">
        <v>157</v>
      </c>
    </row>
    <row r="133" spans="1:2" x14ac:dyDescent="0.25">
      <c r="A133" s="2">
        <f t="shared" si="2"/>
        <v>2.7917154565710519E+27</v>
      </c>
      <c r="B133" s="2" t="s">
        <v>158</v>
      </c>
    </row>
    <row r="134" spans="1:2" x14ac:dyDescent="0.25">
      <c r="A134" s="2">
        <f t="shared" si="2"/>
        <v>4.5170904956503927E+27</v>
      </c>
      <c r="B134" s="2" t="s">
        <v>159</v>
      </c>
    </row>
    <row r="135" spans="1:2" x14ac:dyDescent="0.25">
      <c r="A135" s="2">
        <f t="shared" si="2"/>
        <v>7.3088059522214451E+27</v>
      </c>
      <c r="B135" s="2" t="s">
        <v>160</v>
      </c>
    </row>
    <row r="136" spans="1:2" x14ac:dyDescent="0.25">
      <c r="A136" s="2">
        <f t="shared" si="2"/>
        <v>1.1825896447871837E+28</v>
      </c>
      <c r="B136" s="2" t="s">
        <v>161</v>
      </c>
    </row>
    <row r="137" spans="1:2" x14ac:dyDescent="0.25">
      <c r="A137" s="2">
        <f t="shared" si="2"/>
        <v>1.9134702400093282E+28</v>
      </c>
      <c r="B137" s="2" t="s">
        <v>162</v>
      </c>
    </row>
    <row r="138" spans="1:2" x14ac:dyDescent="0.25">
      <c r="A138" s="2">
        <f t="shared" si="2"/>
        <v>3.0960598847965122E+28</v>
      </c>
      <c r="B138" s="2" t="s">
        <v>163</v>
      </c>
    </row>
    <row r="139" spans="1:2" x14ac:dyDescent="0.25">
      <c r="A139" s="2">
        <f t="shared" si="2"/>
        <v>5.0095301248058406E+28</v>
      </c>
      <c r="B139" s="2" t="s">
        <v>164</v>
      </c>
    </row>
    <row r="140" spans="1:2" x14ac:dyDescent="0.25">
      <c r="A140" s="2">
        <f t="shared" si="2"/>
        <v>8.1055900096023528E+28</v>
      </c>
      <c r="B140" s="2" t="s">
        <v>165</v>
      </c>
    </row>
    <row r="141" spans="1:2" x14ac:dyDescent="0.25">
      <c r="A141" s="2">
        <f t="shared" si="2"/>
        <v>1.3115120134408193E+29</v>
      </c>
      <c r="B141" s="2" t="s">
        <v>166</v>
      </c>
    </row>
    <row r="142" spans="1:2" x14ac:dyDescent="0.25">
      <c r="A142" s="2">
        <f t="shared" si="2"/>
        <v>2.1220710144010545E+29</v>
      </c>
      <c r="B142" s="2" t="s">
        <v>167</v>
      </c>
    </row>
    <row r="143" spans="1:2" x14ac:dyDescent="0.25">
      <c r="A143" s="2">
        <f t="shared" si="2"/>
        <v>3.4335830278418734E+29</v>
      </c>
      <c r="B143" s="2" t="s">
        <v>168</v>
      </c>
    </row>
    <row r="144" spans="1:2" x14ac:dyDescent="0.25">
      <c r="A144" s="2">
        <f t="shared" si="2"/>
        <v>5.5556540422429276E+29</v>
      </c>
      <c r="B144" s="2" t="s">
        <v>35</v>
      </c>
    </row>
    <row r="145" spans="1:2" x14ac:dyDescent="0.25">
      <c r="A145" s="2">
        <f t="shared" si="2"/>
        <v>8.9892370700848011E+29</v>
      </c>
      <c r="B145" s="2" t="s">
        <v>169</v>
      </c>
    </row>
    <row r="146" spans="1:2" x14ac:dyDescent="0.25">
      <c r="A146" s="2">
        <f t="shared" si="2"/>
        <v>1.454489111232773E+30</v>
      </c>
      <c r="B146" s="2" t="s">
        <v>170</v>
      </c>
    </row>
    <row r="147" spans="1:2" x14ac:dyDescent="0.25">
      <c r="A147" s="2">
        <f t="shared" si="2"/>
        <v>2.3534128182412531E+30</v>
      </c>
      <c r="B147" s="2" t="s">
        <v>171</v>
      </c>
    </row>
    <row r="148" spans="1:2" x14ac:dyDescent="0.25">
      <c r="A148" s="2">
        <f t="shared" si="2"/>
        <v>3.8079019294740258E+30</v>
      </c>
      <c r="B148" s="2" t="s">
        <v>172</v>
      </c>
    </row>
    <row r="149" spans="1:2" x14ac:dyDescent="0.25">
      <c r="A149" s="2">
        <f t="shared" si="2"/>
        <v>6.1613147477152787E+30</v>
      </c>
      <c r="B149" s="2" t="s">
        <v>173</v>
      </c>
    </row>
    <row r="150" spans="1:2" x14ac:dyDescent="0.25">
      <c r="A150" s="2">
        <f t="shared" si="2"/>
        <v>9.9692166771893045E+30</v>
      </c>
      <c r="B150" s="2" t="s">
        <v>174</v>
      </c>
    </row>
    <row r="151" spans="1:2" x14ac:dyDescent="0.25">
      <c r="A151" s="2">
        <f t="shared" si="2"/>
        <v>1.6130531424904583E+31</v>
      </c>
      <c r="B151" s="2" t="s">
        <v>175</v>
      </c>
    </row>
    <row r="152" spans="1:2" x14ac:dyDescent="0.25">
      <c r="A152" s="2">
        <f t="shared" si="2"/>
        <v>2.6099748102093888E+31</v>
      </c>
      <c r="B152" s="2" t="s">
        <v>176</v>
      </c>
    </row>
    <row r="153" spans="1:2" x14ac:dyDescent="0.25">
      <c r="A153" s="2">
        <f t="shared" si="2"/>
        <v>4.2230279526998473E+31</v>
      </c>
      <c r="B153" s="2" t="s">
        <v>177</v>
      </c>
    </row>
    <row r="154" spans="1:2" x14ac:dyDescent="0.25">
      <c r="A154" s="2">
        <f t="shared" si="2"/>
        <v>6.8330027629092365E+31</v>
      </c>
      <c r="B154" s="2" t="s">
        <v>178</v>
      </c>
    </row>
    <row r="155" spans="1:2" x14ac:dyDescent="0.25">
      <c r="A155" s="2">
        <f t="shared" si="2"/>
        <v>1.1056030715609085E+32</v>
      </c>
      <c r="B155" s="2" t="s">
        <v>179</v>
      </c>
    </row>
    <row r="156" spans="1:2" x14ac:dyDescent="0.25">
      <c r="A156" s="2">
        <f t="shared" si="2"/>
        <v>1.7889033478518321E+32</v>
      </c>
      <c r="B156" s="2" t="s">
        <v>180</v>
      </c>
    </row>
    <row r="157" spans="1:2" x14ac:dyDescent="0.25">
      <c r="A157" s="2">
        <f t="shared" si="2"/>
        <v>2.8945064194127406E+32</v>
      </c>
      <c r="B157" s="2" t="s">
        <v>181</v>
      </c>
    </row>
    <row r="158" spans="1:2" x14ac:dyDescent="0.25">
      <c r="A158" s="2">
        <f t="shared" si="2"/>
        <v>4.6834097672645727E+32</v>
      </c>
      <c r="B158" s="2" t="s">
        <v>182</v>
      </c>
    </row>
    <row r="159" spans="1:2" x14ac:dyDescent="0.25">
      <c r="A159" s="2">
        <f t="shared" si="2"/>
        <v>7.5779161866773133E+32</v>
      </c>
      <c r="B159" s="2" t="s">
        <v>183</v>
      </c>
    </row>
    <row r="160" spans="1:2" x14ac:dyDescent="0.25">
      <c r="A160" s="2">
        <f t="shared" si="2"/>
        <v>1.2261325953941887E+33</v>
      </c>
      <c r="B160" s="2" t="s">
        <v>184</v>
      </c>
    </row>
    <row r="161" spans="1:2" x14ac:dyDescent="0.25">
      <c r="A161" s="2">
        <f t="shared" si="2"/>
        <v>1.98392421406192E+33</v>
      </c>
      <c r="B161" s="2" t="s">
        <v>185</v>
      </c>
    </row>
    <row r="162" spans="1:2" x14ac:dyDescent="0.25">
      <c r="A162" s="2">
        <f t="shared" si="2"/>
        <v>3.2100568094561087E+33</v>
      </c>
      <c r="B162" s="2" t="s">
        <v>186</v>
      </c>
    </row>
    <row r="163" spans="1:2" x14ac:dyDescent="0.25">
      <c r="A163" s="2">
        <f t="shared" si="2"/>
        <v>5.1939810235180281E+33</v>
      </c>
      <c r="B163" s="2" t="s">
        <v>187</v>
      </c>
    </row>
    <row r="164" spans="1:2" x14ac:dyDescent="0.25">
      <c r="A164" s="2">
        <f t="shared" si="2"/>
        <v>8.4040378329741368E+33</v>
      </c>
      <c r="B164" s="2" t="s">
        <v>188</v>
      </c>
    </row>
    <row r="165" spans="1:2" x14ac:dyDescent="0.25">
      <c r="A165" s="2">
        <f t="shared" si="2"/>
        <v>1.3598018856492165E+34</v>
      </c>
      <c r="B165" s="2" t="s">
        <v>189</v>
      </c>
    </row>
    <row r="166" spans="1:2" x14ac:dyDescent="0.25">
      <c r="A166" s="2">
        <f t="shared" si="2"/>
        <v>2.2002056689466302E+34</v>
      </c>
      <c r="B166" s="2" t="s">
        <v>190</v>
      </c>
    </row>
    <row r="167" spans="1:2" x14ac:dyDescent="0.25">
      <c r="A167" s="2">
        <f t="shared" si="2"/>
        <v>3.5600075545958467E+34</v>
      </c>
      <c r="B167" s="2" t="s">
        <v>191</v>
      </c>
    </row>
    <row r="168" spans="1:2" x14ac:dyDescent="0.25">
      <c r="A168" s="2">
        <f t="shared" si="2"/>
        <v>5.7602132235424769E+34</v>
      </c>
      <c r="B168" s="2" t="s">
        <v>192</v>
      </c>
    </row>
    <row r="169" spans="1:2" x14ac:dyDescent="0.25">
      <c r="A169" s="2">
        <f t="shared" si="2"/>
        <v>9.3202207781383226E+34</v>
      </c>
      <c r="B169" s="2" t="s">
        <v>193</v>
      </c>
    </row>
    <row r="170" spans="1:2" x14ac:dyDescent="0.25">
      <c r="A170" s="2">
        <f t="shared" si="2"/>
        <v>1.5080434001680799E+35</v>
      </c>
      <c r="B170" s="2" t="s">
        <v>194</v>
      </c>
    </row>
    <row r="171" spans="1:2" x14ac:dyDescent="0.25">
      <c r="A171" s="2">
        <f t="shared" si="2"/>
        <v>2.4400654779819122E+35</v>
      </c>
      <c r="B171" s="2" t="s">
        <v>195</v>
      </c>
    </row>
    <row r="172" spans="1:2" x14ac:dyDescent="0.25">
      <c r="A172" s="2">
        <f t="shared" si="2"/>
        <v>3.9481088781499925E+35</v>
      </c>
      <c r="B172" s="2" t="s">
        <v>196</v>
      </c>
    </row>
    <row r="173" spans="1:2" x14ac:dyDescent="0.25">
      <c r="A173" s="2">
        <f t="shared" si="2"/>
        <v>6.3881743561319051E+35</v>
      </c>
      <c r="B173" s="2" t="s">
        <v>197</v>
      </c>
    </row>
    <row r="174" spans="1:2" x14ac:dyDescent="0.25">
      <c r="A174" s="2">
        <f t="shared" si="2"/>
        <v>1.0336283234281898E+36</v>
      </c>
      <c r="B174" s="2" t="s">
        <v>198</v>
      </c>
    </row>
    <row r="175" spans="1:2" x14ac:dyDescent="0.25">
      <c r="A175" s="2">
        <f t="shared" si="2"/>
        <v>1.6724457590413803E+36</v>
      </c>
      <c r="B175" s="2" t="s">
        <v>199</v>
      </c>
    </row>
    <row r="176" spans="1:2" x14ac:dyDescent="0.25">
      <c r="A176" s="2">
        <f t="shared" si="2"/>
        <v>2.70607408246957E+36</v>
      </c>
      <c r="B176" s="2" t="s">
        <v>200</v>
      </c>
    </row>
    <row r="177" spans="1:2" x14ac:dyDescent="0.25">
      <c r="A177" s="2">
        <f t="shared" si="2"/>
        <v>4.37851984151095E+36</v>
      </c>
      <c r="B177" s="2" t="s">
        <v>201</v>
      </c>
    </row>
    <row r="178" spans="1:2" x14ac:dyDescent="0.25">
      <c r="A178" s="2">
        <f t="shared" si="2"/>
        <v>7.0845939239805195E+36</v>
      </c>
      <c r="B178" s="2" t="s">
        <v>202</v>
      </c>
    </row>
    <row r="179" spans="1:2" x14ac:dyDescent="0.25">
      <c r="A179" s="2">
        <f t="shared" si="2"/>
        <v>1.1463113765491469E+37</v>
      </c>
      <c r="B179" s="2" t="s">
        <v>203</v>
      </c>
    </row>
    <row r="180" spans="1:2" x14ac:dyDescent="0.25">
      <c r="A180" s="2">
        <f t="shared" si="2"/>
        <v>1.8547707689471989E+37</v>
      </c>
      <c r="B180" s="2" t="s">
        <v>204</v>
      </c>
    </row>
    <row r="181" spans="1:2" x14ac:dyDescent="0.25">
      <c r="A181" s="2">
        <f t="shared" si="2"/>
        <v>3.0010821454963458E+37</v>
      </c>
      <c r="B181" s="2" t="s">
        <v>205</v>
      </c>
    </row>
    <row r="182" spans="1:2" x14ac:dyDescent="0.25">
      <c r="A182" s="2">
        <f t="shared" si="2"/>
        <v>4.8558529144435443E+37</v>
      </c>
      <c r="B182" s="2" t="s">
        <v>206</v>
      </c>
    </row>
    <row r="183" spans="1:2" x14ac:dyDescent="0.25">
      <c r="A183" s="2">
        <f t="shared" si="2"/>
        <v>7.8569350599398901E+37</v>
      </c>
      <c r="B183" s="2" t="s">
        <v>207</v>
      </c>
    </row>
    <row r="184" spans="1:2" x14ac:dyDescent="0.25">
      <c r="A184" s="2">
        <f t="shared" si="2"/>
        <v>1.2712787974383434E+38</v>
      </c>
      <c r="B184" s="2" t="s">
        <v>208</v>
      </c>
    </row>
    <row r="185" spans="1:2" x14ac:dyDescent="0.25">
      <c r="A185" s="2">
        <f t="shared" si="2"/>
        <v>2.0569723034323324E+38</v>
      </c>
      <c r="B185" s="2" t="s">
        <v>209</v>
      </c>
    </row>
    <row r="186" spans="1:2" x14ac:dyDescent="0.25">
      <c r="A186" s="2">
        <f t="shared" si="2"/>
        <v>3.3282511008706759E+38</v>
      </c>
      <c r="B186" s="2" t="s">
        <v>210</v>
      </c>
    </row>
    <row r="187" spans="1:2" x14ac:dyDescent="0.25">
      <c r="A187" s="2">
        <f t="shared" si="2"/>
        <v>5.3852234043030087E+38</v>
      </c>
      <c r="B187" s="2" t="s">
        <v>211</v>
      </c>
    </row>
    <row r="188" spans="1:2" x14ac:dyDescent="0.25">
      <c r="A188" s="2">
        <f t="shared" si="2"/>
        <v>8.7134745051736838E+38</v>
      </c>
      <c r="B188" s="2" t="s">
        <v>212</v>
      </c>
    </row>
    <row r="189" spans="1:2" x14ac:dyDescent="0.25">
      <c r="A189" s="2">
        <f t="shared" si="2"/>
        <v>1.4098697909476691E+39</v>
      </c>
      <c r="B189" s="2" t="s">
        <v>213</v>
      </c>
    </row>
    <row r="190" spans="1:2" x14ac:dyDescent="0.25">
      <c r="A190" s="2">
        <f t="shared" si="2"/>
        <v>2.2812172414650375E+39</v>
      </c>
      <c r="B190" s="2" t="s">
        <v>214</v>
      </c>
    </row>
    <row r="191" spans="1:2" x14ac:dyDescent="0.25">
      <c r="A191" s="2">
        <f t="shared" si="2"/>
        <v>3.6910870324127069E+39</v>
      </c>
      <c r="B191" s="2" t="s">
        <v>215</v>
      </c>
    </row>
    <row r="192" spans="1:2" x14ac:dyDescent="0.25">
      <c r="A192" s="2">
        <f t="shared" si="2"/>
        <v>5.9723042738777447E+39</v>
      </c>
      <c r="B192" s="2" t="s">
        <v>216</v>
      </c>
    </row>
    <row r="193" spans="1:2" x14ac:dyDescent="0.25">
      <c r="A193" s="2">
        <f t="shared" si="2"/>
        <v>9.6633913062904516E+39</v>
      </c>
      <c r="B193" s="2" t="s">
        <v>217</v>
      </c>
    </row>
    <row r="194" spans="1:2" x14ac:dyDescent="0.25">
      <c r="A194" s="2">
        <f t="shared" si="2"/>
        <v>1.5635695580168196E+40</v>
      </c>
      <c r="B194" s="2" t="s">
        <v>218</v>
      </c>
    </row>
    <row r="195" spans="1:2" x14ac:dyDescent="0.25">
      <c r="A195" s="2">
        <f t="shared" si="2"/>
        <v>2.529908688645865E+40</v>
      </c>
      <c r="B195" s="2" t="s">
        <v>219</v>
      </c>
    </row>
    <row r="196" spans="1:2" x14ac:dyDescent="0.25">
      <c r="A196" s="2">
        <f t="shared" ref="A196:A210" si="3">A194+A195</f>
        <v>4.0934782466626846E+40</v>
      </c>
      <c r="B196" s="2" t="s">
        <v>220</v>
      </c>
    </row>
    <row r="197" spans="1:2" x14ac:dyDescent="0.25">
      <c r="A197" s="2">
        <f t="shared" si="3"/>
        <v>6.6233869353085492E+40</v>
      </c>
      <c r="B197" s="2" t="s">
        <v>221</v>
      </c>
    </row>
    <row r="198" spans="1:2" x14ac:dyDescent="0.25">
      <c r="A198" s="2">
        <f t="shared" si="3"/>
        <v>1.0716865181971233E+41</v>
      </c>
      <c r="B198" s="2" t="s">
        <v>222</v>
      </c>
    </row>
    <row r="199" spans="1:2" x14ac:dyDescent="0.25">
      <c r="A199" s="2">
        <f t="shared" si="3"/>
        <v>1.7340252117279783E+41</v>
      </c>
      <c r="B199" s="2" t="s">
        <v>223</v>
      </c>
    </row>
    <row r="200" spans="1:2" x14ac:dyDescent="0.25">
      <c r="A200" s="2">
        <f t="shared" si="3"/>
        <v>2.8057117299251016E+41</v>
      </c>
      <c r="B200" s="2" t="s">
        <v>224</v>
      </c>
    </row>
    <row r="201" spans="1:2" x14ac:dyDescent="0.25">
      <c r="A201" s="2">
        <f t="shared" si="3"/>
        <v>4.5397369416530796E+41</v>
      </c>
      <c r="B201" s="2" t="s">
        <v>225</v>
      </c>
    </row>
    <row r="202" spans="1:2" x14ac:dyDescent="0.25">
      <c r="A202" s="2">
        <f t="shared" si="3"/>
        <v>7.3454486715781805E+41</v>
      </c>
      <c r="B202" s="2" t="s">
        <v>226</v>
      </c>
    </row>
    <row r="203" spans="1:2" x14ac:dyDescent="0.25">
      <c r="A203" s="2">
        <f t="shared" si="3"/>
        <v>1.188518561323126E+42</v>
      </c>
      <c r="B203" s="2" t="s">
        <v>227</v>
      </c>
    </row>
    <row r="204" spans="1:2" x14ac:dyDescent="0.25">
      <c r="A204" s="2">
        <f t="shared" si="3"/>
        <v>1.9230634284809439E+42</v>
      </c>
      <c r="B204" s="2" t="s">
        <v>228</v>
      </c>
    </row>
    <row r="205" spans="1:2" x14ac:dyDescent="0.25">
      <c r="A205" s="2">
        <f t="shared" si="3"/>
        <v>3.1115819898040701E+42</v>
      </c>
      <c r="B205" s="2" t="s">
        <v>229</v>
      </c>
    </row>
    <row r="206" spans="1:2" x14ac:dyDescent="0.25">
      <c r="A206" s="2">
        <f t="shared" si="3"/>
        <v>5.034645418285014E+42</v>
      </c>
      <c r="B206" s="2" t="s">
        <v>230</v>
      </c>
    </row>
    <row r="207" spans="1:2" x14ac:dyDescent="0.25">
      <c r="A207" s="2">
        <f t="shared" si="3"/>
        <v>8.1462274080890834E+42</v>
      </c>
      <c r="B207" s="2" t="s">
        <v>231</v>
      </c>
    </row>
    <row r="208" spans="1:2" x14ac:dyDescent="0.25">
      <c r="A208" s="2">
        <f t="shared" si="3"/>
        <v>1.3180872826374099E+43</v>
      </c>
      <c r="B208" s="2" t="s">
        <v>232</v>
      </c>
    </row>
    <row r="209" spans="1:2" x14ac:dyDescent="0.25">
      <c r="A209" s="2">
        <f t="shared" si="3"/>
        <v>2.1327100234463182E+43</v>
      </c>
      <c r="B209" s="2" t="s">
        <v>233</v>
      </c>
    </row>
    <row r="210" spans="1:2" x14ac:dyDescent="0.25">
      <c r="A210" s="2">
        <f t="shared" si="3"/>
        <v>3.4507973060837281E+43</v>
      </c>
      <c r="B210" s="2" t="s">
        <v>235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Инициализация</vt:lpstr>
      <vt:lpstr>Итерации 1-3 Деление интервала</vt:lpstr>
      <vt:lpstr>Итерации 1-4 Фибоначчи</vt:lpstr>
      <vt:lpstr>Числа_Фибоначчи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Заварзин</dc:creator>
  <cp:lastModifiedBy>Арсений Заварзин</cp:lastModifiedBy>
  <dcterms:created xsi:type="dcterms:W3CDTF">2026-09-28T09:04:10Z</dcterms:created>
  <dcterms:modified xsi:type="dcterms:W3CDTF">2026-10-13T12:21:20Z</dcterms:modified>
</cp:coreProperties>
</file>